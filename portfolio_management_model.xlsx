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https://econmsu-my.sharepoint.com/personal/bekm23a_econ_msu_ru/Documents/"/>
    </mc:Choice>
  </mc:AlternateContent>
  <xr:revisionPtr revIDLastSave="0" documentId="8_{9A3C8ED2-A8F3-1340-B86B-19B2DF4313C3}" xr6:coauthVersionLast="47" xr6:coauthVersionMax="47" xr10:uidLastSave="{00000000-0000-0000-0000-000000000000}"/>
  <bookViews>
    <workbookView xWindow="-120" yWindow="-120" windowWidth="29040" windowHeight="15840" xr2:uid="{20E7B6CE-ECC4-428B-809F-F60C6CBB28E3}"/>
  </bookViews>
  <sheets>
    <sheet name="Портрет" sheetId="4" r:id="rId1"/>
    <sheet name="Доходность облигации" sheetId="2" r:id="rId2"/>
    <sheet name="Доходность акций" sheetId="6" r:id="rId3"/>
    <sheet name="Ребалансировка портфеля" sheetId="7" r:id="rId4"/>
    <sheet name="Сценарии и риски" sheetId="12" r:id="rId5"/>
    <sheet name="Оптимистичный сценарий" sheetId="15" r:id="rId6"/>
    <sheet name="Пессимистиный сценарий" sheetId="14" r:id="rId7"/>
    <sheet name="Сценарий кризиса" sheetId="16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4" l="1"/>
  <c r="G4" i="6"/>
  <c r="O23" i="15"/>
  <c r="D21" i="16"/>
  <c r="D6" i="16"/>
  <c r="Q22" i="16"/>
  <c r="Q21" i="16"/>
  <c r="Q19" i="16"/>
  <c r="Q12" i="16"/>
  <c r="P9" i="16"/>
  <c r="P8" i="16"/>
  <c r="Q7" i="16"/>
  <c r="R21" i="14"/>
  <c r="R22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11" i="14"/>
  <c r="Q7" i="14"/>
  <c r="P9" i="14"/>
  <c r="P8" i="14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8" i="15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10" i="7"/>
  <c r="P9" i="7"/>
  <c r="O9" i="7"/>
  <c r="Q3" i="7"/>
  <c r="Q4" i="7"/>
  <c r="D5" i="7"/>
  <c r="D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O3" i="7"/>
  <c r="D4" i="15"/>
  <c r="O3" i="15"/>
  <c r="Q3" i="15"/>
  <c r="R3" i="15"/>
  <c r="D5" i="14"/>
  <c r="D4" i="14"/>
  <c r="Q3" i="14"/>
  <c r="R3" i="14"/>
  <c r="O3" i="14"/>
  <c r="D35" i="16"/>
  <c r="D34" i="16"/>
  <c r="Q33" i="16"/>
  <c r="R33" i="16"/>
  <c r="O33" i="16"/>
  <c r="D5" i="16"/>
  <c r="D4" i="16"/>
  <c r="Q3" i="16"/>
  <c r="M38" i="16"/>
  <c r="H33" i="16"/>
  <c r="J33" i="16"/>
  <c r="G33" i="16"/>
  <c r="H3" i="16"/>
  <c r="G3" i="16"/>
  <c r="K3" i="16"/>
  <c r="H3" i="14"/>
  <c r="G3" i="14"/>
  <c r="H3" i="15"/>
  <c r="G3" i="15"/>
  <c r="H3" i="7"/>
  <c r="G3" i="7"/>
  <c r="K3" i="7"/>
  <c r="N53" i="16"/>
  <c r="F53" i="16"/>
  <c r="N52" i="16"/>
  <c r="F52" i="16"/>
  <c r="N51" i="16"/>
  <c r="F51" i="16"/>
  <c r="N50" i="16"/>
  <c r="F50" i="16"/>
  <c r="N49" i="16"/>
  <c r="F49" i="16"/>
  <c r="N48" i="16"/>
  <c r="F48" i="16"/>
  <c r="N47" i="16"/>
  <c r="F47" i="16"/>
  <c r="N46" i="16"/>
  <c r="F46" i="16"/>
  <c r="N45" i="16"/>
  <c r="F45" i="16"/>
  <c r="N44" i="16"/>
  <c r="F44" i="16"/>
  <c r="N43" i="16"/>
  <c r="F43" i="16"/>
  <c r="N42" i="16"/>
  <c r="F42" i="16"/>
  <c r="N41" i="16"/>
  <c r="F41" i="16"/>
  <c r="N40" i="16"/>
  <c r="F40" i="16"/>
  <c r="N39" i="16"/>
  <c r="F39" i="16"/>
  <c r="N38" i="16"/>
  <c r="F38" i="16"/>
  <c r="N37" i="16"/>
  <c r="F37" i="16"/>
  <c r="N36" i="16"/>
  <c r="F36" i="16"/>
  <c r="N35" i="16"/>
  <c r="N34" i="16"/>
  <c r="M34" i="16"/>
  <c r="K33" i="16"/>
  <c r="N23" i="16"/>
  <c r="F23" i="16"/>
  <c r="N22" i="16"/>
  <c r="F22" i="16"/>
  <c r="N21" i="16"/>
  <c r="F21" i="16"/>
  <c r="N20" i="16"/>
  <c r="F20" i="16"/>
  <c r="N19" i="16"/>
  <c r="F19" i="16"/>
  <c r="N18" i="16"/>
  <c r="F18" i="16"/>
  <c r="N17" i="16"/>
  <c r="F17" i="16"/>
  <c r="N16" i="16"/>
  <c r="F16" i="16"/>
  <c r="N15" i="16"/>
  <c r="F15" i="16"/>
  <c r="N14" i="16"/>
  <c r="F14" i="16"/>
  <c r="N13" i="16"/>
  <c r="F13" i="16"/>
  <c r="N12" i="16"/>
  <c r="F12" i="16"/>
  <c r="N11" i="16"/>
  <c r="F11" i="16"/>
  <c r="N10" i="16"/>
  <c r="F10" i="16"/>
  <c r="N9" i="16"/>
  <c r="F9" i="16"/>
  <c r="N8" i="16"/>
  <c r="F8" i="16"/>
  <c r="N7" i="16"/>
  <c r="F7" i="16"/>
  <c r="N6" i="16"/>
  <c r="F6" i="16"/>
  <c r="N5" i="16"/>
  <c r="N4" i="16"/>
  <c r="M4" i="16"/>
  <c r="J3" i="16"/>
  <c r="N23" i="15"/>
  <c r="F23" i="15"/>
  <c r="N22" i="15"/>
  <c r="F22" i="15"/>
  <c r="N21" i="15"/>
  <c r="F21" i="15"/>
  <c r="N20" i="15"/>
  <c r="F20" i="15"/>
  <c r="N19" i="15"/>
  <c r="F19" i="15"/>
  <c r="N18" i="15"/>
  <c r="F18" i="15"/>
  <c r="N17" i="15"/>
  <c r="F17" i="15"/>
  <c r="N16" i="15"/>
  <c r="F16" i="15"/>
  <c r="N15" i="15"/>
  <c r="F15" i="15"/>
  <c r="N14" i="15"/>
  <c r="F14" i="15"/>
  <c r="N13" i="15"/>
  <c r="F13" i="15"/>
  <c r="N12" i="15"/>
  <c r="F12" i="15"/>
  <c r="N11" i="15"/>
  <c r="F11" i="15"/>
  <c r="N10" i="15"/>
  <c r="F10" i="15"/>
  <c r="N9" i="15"/>
  <c r="F9" i="15"/>
  <c r="N8" i="15"/>
  <c r="F8" i="15"/>
  <c r="N7" i="15"/>
  <c r="F7" i="15"/>
  <c r="N6" i="15"/>
  <c r="F6" i="15"/>
  <c r="N5" i="15"/>
  <c r="N4" i="15"/>
  <c r="M4" i="15"/>
  <c r="K3" i="15"/>
  <c r="I3" i="15"/>
  <c r="J3" i="15"/>
  <c r="N23" i="14"/>
  <c r="F23" i="14"/>
  <c r="N22" i="14"/>
  <c r="F22" i="14"/>
  <c r="N21" i="14"/>
  <c r="F21" i="14"/>
  <c r="N20" i="14"/>
  <c r="F20" i="14"/>
  <c r="N19" i="14"/>
  <c r="F19" i="14"/>
  <c r="N18" i="14"/>
  <c r="F18" i="14"/>
  <c r="N17" i="14"/>
  <c r="F17" i="14"/>
  <c r="N16" i="14"/>
  <c r="F16" i="14"/>
  <c r="N15" i="14"/>
  <c r="F15" i="14"/>
  <c r="N14" i="14"/>
  <c r="F14" i="14"/>
  <c r="N13" i="14"/>
  <c r="F13" i="14"/>
  <c r="N12" i="14"/>
  <c r="F12" i="14"/>
  <c r="N11" i="14"/>
  <c r="F11" i="14"/>
  <c r="N10" i="14"/>
  <c r="F10" i="14"/>
  <c r="N9" i="14"/>
  <c r="F9" i="14"/>
  <c r="N8" i="14"/>
  <c r="F8" i="14"/>
  <c r="N7" i="14"/>
  <c r="F7" i="14"/>
  <c r="N6" i="14"/>
  <c r="F6" i="14"/>
  <c r="N5" i="14"/>
  <c r="N4" i="14"/>
  <c r="M4" i="14"/>
  <c r="M5" i="14"/>
  <c r="J3" i="14"/>
  <c r="K3" i="14"/>
  <c r="M4" i="7"/>
  <c r="F13" i="2"/>
  <c r="F12" i="2"/>
  <c r="H14" i="6"/>
  <c r="B26" i="4"/>
  <c r="B30" i="4"/>
  <c r="G7" i="6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G8" i="6"/>
  <c r="D14" i="6"/>
  <c r="G13" i="6"/>
  <c r="E13" i="6"/>
  <c r="G12" i="6"/>
  <c r="E12" i="6"/>
  <c r="G11" i="6"/>
  <c r="E11" i="6"/>
  <c r="G10" i="6"/>
  <c r="E10" i="6"/>
  <c r="G9" i="6"/>
  <c r="E9" i="6"/>
  <c r="E8" i="6"/>
  <c r="E7" i="6"/>
  <c r="G6" i="6"/>
  <c r="E6" i="6"/>
  <c r="G5" i="6"/>
  <c r="E5" i="6"/>
  <c r="E4" i="6"/>
  <c r="E14" i="6"/>
  <c r="R3" i="7"/>
  <c r="M35" i="16"/>
  <c r="M36" i="16"/>
  <c r="M37" i="16"/>
  <c r="M5" i="16"/>
  <c r="M6" i="16"/>
  <c r="M7" i="16"/>
  <c r="M6" i="14"/>
  <c r="M7" i="14"/>
  <c r="M5" i="15"/>
  <c r="M6" i="15"/>
  <c r="M7" i="15"/>
  <c r="M8" i="15"/>
  <c r="L3" i="15"/>
  <c r="I33" i="16"/>
  <c r="L33" i="16"/>
  <c r="I3" i="16"/>
  <c r="L3" i="16"/>
  <c r="I3" i="14"/>
  <c r="L3" i="14"/>
  <c r="I3" i="7"/>
  <c r="L3" i="7"/>
  <c r="J3" i="7"/>
  <c r="D13" i="2"/>
  <c r="J11" i="2"/>
  <c r="H12" i="2"/>
  <c r="J12" i="2"/>
  <c r="J10" i="2"/>
  <c r="J3" i="2"/>
  <c r="J4" i="2"/>
  <c r="J5" i="2"/>
  <c r="J6" i="2"/>
  <c r="J7" i="2"/>
  <c r="J8" i="2"/>
  <c r="J9" i="2"/>
  <c r="H3" i="2"/>
  <c r="H4" i="2"/>
  <c r="H5" i="2"/>
  <c r="H6" i="2"/>
  <c r="H7" i="2"/>
  <c r="H8" i="2"/>
  <c r="H9" i="2"/>
  <c r="H10" i="2"/>
  <c r="H11" i="2"/>
  <c r="F3" i="2"/>
  <c r="F4" i="2"/>
  <c r="F5" i="2"/>
  <c r="F6" i="2"/>
  <c r="F7" i="2"/>
  <c r="F8" i="2"/>
  <c r="F9" i="2"/>
  <c r="F10" i="2"/>
  <c r="F11" i="2"/>
  <c r="J2" i="2"/>
  <c r="H2" i="2"/>
  <c r="F2" i="2"/>
  <c r="J13" i="2"/>
  <c r="J14" i="2"/>
  <c r="H13" i="2"/>
  <c r="H14" i="2"/>
  <c r="F14" i="2"/>
  <c r="O3" i="16"/>
  <c r="R3" i="16"/>
  <c r="H4" i="7"/>
  <c r="G4" i="7"/>
  <c r="K4" i="7"/>
  <c r="M5" i="7"/>
  <c r="G4" i="16"/>
  <c r="H4" i="16"/>
  <c r="J4" i="16"/>
  <c r="H34" i="16"/>
  <c r="J34" i="16"/>
  <c r="G34" i="16"/>
  <c r="H4" i="14"/>
  <c r="J4" i="14"/>
  <c r="G4" i="14"/>
  <c r="H4" i="15"/>
  <c r="G4" i="15"/>
  <c r="J4" i="7"/>
  <c r="I4" i="7"/>
  <c r="I34" i="16"/>
  <c r="K34" i="16"/>
  <c r="K4" i="16"/>
  <c r="I4" i="16"/>
  <c r="L4" i="16"/>
  <c r="K4" i="14"/>
  <c r="I4" i="14"/>
  <c r="L4" i="14"/>
  <c r="O4" i="14"/>
  <c r="Q4" i="14"/>
  <c r="R4" i="14"/>
  <c r="I4" i="15"/>
  <c r="K4" i="15"/>
  <c r="J4" i="15"/>
  <c r="L4" i="7"/>
  <c r="O4" i="7"/>
  <c r="R4" i="7"/>
  <c r="L4" i="15"/>
  <c r="O4" i="15"/>
  <c r="Q4" i="15"/>
  <c r="R4" i="15"/>
  <c r="O4" i="16"/>
  <c r="L34" i="16"/>
  <c r="O34" i="16"/>
  <c r="Q34" i="16"/>
  <c r="R34" i="16"/>
  <c r="Q4" i="16"/>
  <c r="R4" i="16"/>
  <c r="D5" i="15"/>
  <c r="G5" i="16"/>
  <c r="H5" i="16"/>
  <c r="J5" i="16"/>
  <c r="G5" i="14"/>
  <c r="H5" i="14"/>
  <c r="J5" i="14"/>
  <c r="G5" i="15"/>
  <c r="H5" i="15"/>
  <c r="H5" i="7"/>
  <c r="J5" i="7"/>
  <c r="G5" i="7"/>
  <c r="H35" i="16"/>
  <c r="G35" i="16"/>
  <c r="K5" i="16"/>
  <c r="I5" i="16"/>
  <c r="L5" i="16"/>
  <c r="I5" i="14"/>
  <c r="K5" i="14"/>
  <c r="J5" i="15"/>
  <c r="I5" i="15"/>
  <c r="K5" i="15"/>
  <c r="I5" i="7"/>
  <c r="K5" i="7"/>
  <c r="M6" i="7"/>
  <c r="O5" i="16"/>
  <c r="G6" i="16"/>
  <c r="Q5" i="16"/>
  <c r="R5" i="16"/>
  <c r="I35" i="16"/>
  <c r="K35" i="16"/>
  <c r="J35" i="16"/>
  <c r="H6" i="16"/>
  <c r="L5" i="14"/>
  <c r="L5" i="15"/>
  <c r="O5" i="15"/>
  <c r="Q5" i="15"/>
  <c r="R5" i="15"/>
  <c r="D6" i="15"/>
  <c r="L5" i="7"/>
  <c r="O5" i="7"/>
  <c r="Q5" i="7"/>
  <c r="R5" i="7"/>
  <c r="D6" i="7"/>
  <c r="O5" i="14"/>
  <c r="Q5" i="14"/>
  <c r="R5" i="14"/>
  <c r="D6" i="14"/>
  <c r="L35" i="16"/>
  <c r="I6" i="16"/>
  <c r="K6" i="16"/>
  <c r="J6" i="16"/>
  <c r="L6" i="16"/>
  <c r="H6" i="15"/>
  <c r="J6" i="15"/>
  <c r="G6" i="15"/>
  <c r="O35" i="16"/>
  <c r="Q35" i="16"/>
  <c r="R35" i="16"/>
  <c r="O6" i="16"/>
  <c r="D7" i="16"/>
  <c r="K6" i="15"/>
  <c r="I6" i="15"/>
  <c r="L6" i="15"/>
  <c r="O6" i="15"/>
  <c r="Q6" i="15"/>
  <c r="R6" i="15"/>
  <c r="H6" i="7"/>
  <c r="J6" i="7"/>
  <c r="G6" i="7"/>
  <c r="D36" i="16"/>
  <c r="Q6" i="16"/>
  <c r="R6" i="16"/>
  <c r="H7" i="16"/>
  <c r="H6" i="14"/>
  <c r="G6" i="14"/>
  <c r="D7" i="15"/>
  <c r="K6" i="7"/>
  <c r="I6" i="7"/>
  <c r="M7" i="7"/>
  <c r="G36" i="16"/>
  <c r="H36" i="16"/>
  <c r="J36" i="16"/>
  <c r="G7" i="16"/>
  <c r="K7" i="16"/>
  <c r="I7" i="16"/>
  <c r="J7" i="16"/>
  <c r="J6" i="14"/>
  <c r="K6" i="14"/>
  <c r="I6" i="14"/>
  <c r="G7" i="15"/>
  <c r="H7" i="15"/>
  <c r="J7" i="15"/>
  <c r="L6" i="7"/>
  <c r="O6" i="7"/>
  <c r="Q6" i="7"/>
  <c r="R6" i="7"/>
  <c r="D7" i="7"/>
  <c r="L6" i="14"/>
  <c r="I36" i="16"/>
  <c r="L36" i="16"/>
  <c r="K36" i="16"/>
  <c r="L7" i="16"/>
  <c r="K7" i="15"/>
  <c r="I7" i="15"/>
  <c r="L7" i="15"/>
  <c r="O7" i="15"/>
  <c r="Q7" i="15"/>
  <c r="R7" i="15"/>
  <c r="O6" i="14"/>
  <c r="Q6" i="14"/>
  <c r="R6" i="14"/>
  <c r="D7" i="14"/>
  <c r="O36" i="16"/>
  <c r="Q36" i="16"/>
  <c r="R36" i="16"/>
  <c r="O7" i="16"/>
  <c r="R7" i="16"/>
  <c r="D8" i="16"/>
  <c r="H8" i="16"/>
  <c r="J8" i="16"/>
  <c r="D8" i="15"/>
  <c r="G8" i="16"/>
  <c r="D37" i="16"/>
  <c r="I8" i="16"/>
  <c r="K8" i="16"/>
  <c r="H7" i="14"/>
  <c r="G7" i="14"/>
  <c r="H8" i="15"/>
  <c r="J8" i="15"/>
  <c r="G8" i="15"/>
  <c r="G7" i="7"/>
  <c r="H7" i="7"/>
  <c r="G37" i="16"/>
  <c r="H37" i="16"/>
  <c r="L8" i="16"/>
  <c r="K7" i="14"/>
  <c r="I7" i="14"/>
  <c r="J7" i="14"/>
  <c r="L7" i="14"/>
  <c r="K8" i="15"/>
  <c r="I8" i="15"/>
  <c r="L8" i="15"/>
  <c r="O8" i="15"/>
  <c r="J7" i="7"/>
  <c r="I7" i="7"/>
  <c r="K7" i="7"/>
  <c r="M8" i="7"/>
  <c r="R8" i="15"/>
  <c r="O7" i="14"/>
  <c r="R7" i="14"/>
  <c r="D8" i="14"/>
  <c r="K37" i="16"/>
  <c r="I37" i="16"/>
  <c r="L37" i="16"/>
  <c r="J37" i="16"/>
  <c r="O8" i="16"/>
  <c r="D9" i="15"/>
  <c r="L7" i="7"/>
  <c r="O7" i="7"/>
  <c r="Q7" i="7"/>
  <c r="R7" i="7"/>
  <c r="D8" i="7"/>
  <c r="G8" i="7"/>
  <c r="O37" i="16"/>
  <c r="Q37" i="16"/>
  <c r="R37" i="16"/>
  <c r="D38" i="16"/>
  <c r="R8" i="16"/>
  <c r="H8" i="14"/>
  <c r="J8" i="14"/>
  <c r="G8" i="14"/>
  <c r="H9" i="15"/>
  <c r="J9" i="15"/>
  <c r="G9" i="15"/>
  <c r="H8" i="7"/>
  <c r="J8" i="7"/>
  <c r="G38" i="16"/>
  <c r="H38" i="16"/>
  <c r="J38" i="16"/>
  <c r="D9" i="16"/>
  <c r="K8" i="14"/>
  <c r="I8" i="14"/>
  <c r="L8" i="14"/>
  <c r="K9" i="15"/>
  <c r="I9" i="15"/>
  <c r="I8" i="7"/>
  <c r="K8" i="7"/>
  <c r="L8" i="7"/>
  <c r="L9" i="15"/>
  <c r="O9" i="15"/>
  <c r="O8" i="14"/>
  <c r="R8" i="14"/>
  <c r="K38" i="16"/>
  <c r="I38" i="16"/>
  <c r="L38" i="16"/>
  <c r="H9" i="16"/>
  <c r="J9" i="16"/>
  <c r="G9" i="16"/>
  <c r="D10" i="15"/>
  <c r="O8" i="7"/>
  <c r="D9" i="7"/>
  <c r="H9" i="7"/>
  <c r="J9" i="7"/>
  <c r="Q8" i="7"/>
  <c r="R8" i="7"/>
  <c r="R9" i="15"/>
  <c r="D9" i="14"/>
  <c r="O38" i="16"/>
  <c r="I9" i="16"/>
  <c r="K9" i="16"/>
  <c r="L9" i="16"/>
  <c r="H9" i="14"/>
  <c r="J9" i="14"/>
  <c r="G9" i="14"/>
  <c r="H10" i="15"/>
  <c r="J10" i="15"/>
  <c r="G10" i="15"/>
  <c r="G9" i="7"/>
  <c r="I9" i="7"/>
  <c r="L9" i="7"/>
  <c r="Q38" i="16"/>
  <c r="R38" i="16"/>
  <c r="P38" i="16"/>
  <c r="D39" i="16"/>
  <c r="O9" i="16"/>
  <c r="R9" i="16"/>
  <c r="I9" i="14"/>
  <c r="K9" i="14"/>
  <c r="L9" i="14"/>
  <c r="I10" i="15"/>
  <c r="K10" i="15"/>
  <c r="K9" i="7"/>
  <c r="R9" i="7"/>
  <c r="D10" i="7"/>
  <c r="O9" i="14"/>
  <c r="D10" i="14"/>
  <c r="R9" i="14"/>
  <c r="G39" i="16"/>
  <c r="H39" i="16"/>
  <c r="J39" i="16"/>
  <c r="D10" i="16"/>
  <c r="L10" i="15"/>
  <c r="O10" i="15"/>
  <c r="R10" i="15"/>
  <c r="H10" i="14"/>
  <c r="G10" i="14"/>
  <c r="I10" i="14"/>
  <c r="L10" i="14"/>
  <c r="I39" i="16"/>
  <c r="L39" i="16"/>
  <c r="K39" i="16"/>
  <c r="G10" i="16"/>
  <c r="H10" i="16"/>
  <c r="J10" i="14"/>
  <c r="K10" i="14"/>
  <c r="D11" i="15"/>
  <c r="H10" i="7"/>
  <c r="G10" i="7"/>
  <c r="K10" i="7"/>
  <c r="O10" i="14"/>
  <c r="P10" i="14"/>
  <c r="D11" i="14"/>
  <c r="R10" i="14"/>
  <c r="O39" i="16"/>
  <c r="J10" i="16"/>
  <c r="I10" i="16"/>
  <c r="K10" i="16"/>
  <c r="G11" i="15"/>
  <c r="H11" i="15"/>
  <c r="I10" i="7"/>
  <c r="J10" i="7"/>
  <c r="L10" i="16"/>
  <c r="L10" i="7"/>
  <c r="O10" i="7"/>
  <c r="D11" i="7"/>
  <c r="P39" i="16"/>
  <c r="D40" i="16"/>
  <c r="Q39" i="16"/>
  <c r="R39" i="16"/>
  <c r="O10" i="16"/>
  <c r="J11" i="15"/>
  <c r="K11" i="15"/>
  <c r="I11" i="15"/>
  <c r="L11" i="15"/>
  <c r="O11" i="15"/>
  <c r="P10" i="16"/>
  <c r="R10" i="16"/>
  <c r="R10" i="7"/>
  <c r="R11" i="15"/>
  <c r="H40" i="16"/>
  <c r="G40" i="16"/>
  <c r="D11" i="16"/>
  <c r="H11" i="14"/>
  <c r="J11" i="14"/>
  <c r="G11" i="14"/>
  <c r="K40" i="16"/>
  <c r="I40" i="16"/>
  <c r="J40" i="16"/>
  <c r="L40" i="16"/>
  <c r="G11" i="16"/>
  <c r="H11" i="16"/>
  <c r="K11" i="14"/>
  <c r="I11" i="14"/>
  <c r="L11" i="14"/>
  <c r="D12" i="15"/>
  <c r="H11" i="7"/>
  <c r="G11" i="7"/>
  <c r="O11" i="14"/>
  <c r="O40" i="16"/>
  <c r="J11" i="16"/>
  <c r="K11" i="16"/>
  <c r="I11" i="16"/>
  <c r="L11" i="16"/>
  <c r="H12" i="15"/>
  <c r="G12" i="15"/>
  <c r="K11" i="7"/>
  <c r="I11" i="7"/>
  <c r="J11" i="7"/>
  <c r="L11" i="7"/>
  <c r="D12" i="14"/>
  <c r="P40" i="16"/>
  <c r="D41" i="16"/>
  <c r="Q40" i="16"/>
  <c r="R40" i="16"/>
  <c r="O11" i="16"/>
  <c r="I12" i="15"/>
  <c r="K12" i="15"/>
  <c r="J12" i="15"/>
  <c r="P11" i="16"/>
  <c r="R11" i="16"/>
  <c r="O11" i="7"/>
  <c r="L12" i="15"/>
  <c r="O12" i="15"/>
  <c r="R12" i="15"/>
  <c r="R11" i="14"/>
  <c r="G41" i="16"/>
  <c r="H41" i="16"/>
  <c r="D12" i="16"/>
  <c r="H12" i="14"/>
  <c r="G12" i="14"/>
  <c r="D13" i="15"/>
  <c r="R11" i="7"/>
  <c r="D12" i="7"/>
  <c r="H12" i="7"/>
  <c r="J12" i="7"/>
  <c r="J41" i="16"/>
  <c r="K41" i="16"/>
  <c r="I41" i="16"/>
  <c r="L41" i="16"/>
  <c r="H12" i="16"/>
  <c r="G12" i="16"/>
  <c r="K12" i="14"/>
  <c r="I12" i="14"/>
  <c r="J12" i="14"/>
  <c r="H13" i="15"/>
  <c r="G13" i="15"/>
  <c r="G12" i="7"/>
  <c r="K12" i="7"/>
  <c r="L12" i="14"/>
  <c r="O41" i="16"/>
  <c r="I12" i="16"/>
  <c r="K12" i="16"/>
  <c r="J12" i="16"/>
  <c r="L12" i="16"/>
  <c r="J13" i="15"/>
  <c r="K13" i="15"/>
  <c r="I13" i="15"/>
  <c r="I12" i="7"/>
  <c r="L12" i="7"/>
  <c r="O12" i="7"/>
  <c r="L13" i="15"/>
  <c r="O13" i="15"/>
  <c r="O12" i="14"/>
  <c r="P41" i="16"/>
  <c r="D42" i="16"/>
  <c r="Q41" i="16"/>
  <c r="R41" i="16"/>
  <c r="O12" i="16"/>
  <c r="R12" i="16"/>
  <c r="D13" i="14"/>
  <c r="H13" i="14"/>
  <c r="D13" i="7"/>
  <c r="R13" i="15"/>
  <c r="G42" i="16"/>
  <c r="H42" i="16"/>
  <c r="J42" i="16"/>
  <c r="D13" i="16"/>
  <c r="D14" i="15"/>
  <c r="G13" i="14"/>
  <c r="R12" i="14"/>
  <c r="R12" i="7"/>
  <c r="K42" i="16"/>
  <c r="I42" i="16"/>
  <c r="G13" i="16"/>
  <c r="H13" i="16"/>
  <c r="J13" i="16"/>
  <c r="J13" i="14"/>
  <c r="K13" i="14"/>
  <c r="I13" i="14"/>
  <c r="H14" i="15"/>
  <c r="J14" i="15"/>
  <c r="G14" i="15"/>
  <c r="H13" i="7"/>
  <c r="J13" i="7"/>
  <c r="G13" i="7"/>
  <c r="L13" i="14"/>
  <c r="O13" i="14"/>
  <c r="R13" i="14"/>
  <c r="L42" i="16"/>
  <c r="I13" i="16"/>
  <c r="K13" i="16"/>
  <c r="K14" i="15"/>
  <c r="I14" i="15"/>
  <c r="K13" i="7"/>
  <c r="I13" i="7"/>
  <c r="L13" i="7"/>
  <c r="D14" i="14"/>
  <c r="O42" i="16"/>
  <c r="Q42" i="16"/>
  <c r="R42" i="16"/>
  <c r="D43" i="16"/>
  <c r="L13" i="16"/>
  <c r="L14" i="15"/>
  <c r="O14" i="15"/>
  <c r="O13" i="7"/>
  <c r="D14" i="7"/>
  <c r="R13" i="7"/>
  <c r="R14" i="15"/>
  <c r="H43" i="16"/>
  <c r="J43" i="16"/>
  <c r="G43" i="16"/>
  <c r="O13" i="16"/>
  <c r="P13" i="16"/>
  <c r="G14" i="14"/>
  <c r="H14" i="14"/>
  <c r="K43" i="16"/>
  <c r="I43" i="16"/>
  <c r="L43" i="16"/>
  <c r="D14" i="16"/>
  <c r="J14" i="14"/>
  <c r="K14" i="14"/>
  <c r="I14" i="14"/>
  <c r="L14" i="14"/>
  <c r="D15" i="15"/>
  <c r="H14" i="7"/>
  <c r="J14" i="7"/>
  <c r="G14" i="7"/>
  <c r="O14" i="14"/>
  <c r="O43" i="16"/>
  <c r="P43" i="16"/>
  <c r="Q43" i="16"/>
  <c r="R43" i="16"/>
  <c r="G14" i="16"/>
  <c r="H14" i="16"/>
  <c r="R13" i="16"/>
  <c r="H15" i="15"/>
  <c r="J15" i="15"/>
  <c r="G15" i="15"/>
  <c r="I14" i="7"/>
  <c r="K14" i="7"/>
  <c r="R14" i="14"/>
  <c r="L14" i="7"/>
  <c r="D15" i="14"/>
  <c r="D44" i="16"/>
  <c r="J14" i="16"/>
  <c r="I14" i="16"/>
  <c r="K14" i="16"/>
  <c r="K15" i="15"/>
  <c r="I15" i="15"/>
  <c r="L15" i="15"/>
  <c r="O15" i="15"/>
  <c r="L14" i="16"/>
  <c r="O14" i="7"/>
  <c r="D15" i="7"/>
  <c r="R14" i="7"/>
  <c r="R15" i="15"/>
  <c r="G44" i="16"/>
  <c r="H44" i="16"/>
  <c r="O14" i="16"/>
  <c r="H15" i="14"/>
  <c r="J15" i="14"/>
  <c r="G15" i="14"/>
  <c r="D16" i="15"/>
  <c r="P14" i="16"/>
  <c r="R14" i="16"/>
  <c r="J44" i="16"/>
  <c r="I44" i="16"/>
  <c r="L44" i="16"/>
  <c r="K44" i="16"/>
  <c r="K15" i="14"/>
  <c r="I15" i="14"/>
  <c r="L15" i="14"/>
  <c r="H16" i="15"/>
  <c r="J16" i="15"/>
  <c r="G16" i="15"/>
  <c r="G15" i="7"/>
  <c r="H15" i="7"/>
  <c r="D15" i="16"/>
  <c r="O15" i="14"/>
  <c r="R15" i="14"/>
  <c r="O44" i="16"/>
  <c r="P44" i="16"/>
  <c r="Q44" i="16"/>
  <c r="R44" i="16"/>
  <c r="D45" i="16"/>
  <c r="H15" i="16"/>
  <c r="G15" i="16"/>
  <c r="K16" i="15"/>
  <c r="I16" i="15"/>
  <c r="L16" i="15"/>
  <c r="O16" i="15"/>
  <c r="J15" i="7"/>
  <c r="I15" i="7"/>
  <c r="K15" i="7"/>
  <c r="R16" i="15"/>
  <c r="D16" i="14"/>
  <c r="H45" i="16"/>
  <c r="G45" i="16"/>
  <c r="I15" i="16"/>
  <c r="K15" i="16"/>
  <c r="J15" i="16"/>
  <c r="L15" i="16"/>
  <c r="D17" i="15"/>
  <c r="L15" i="7"/>
  <c r="O15" i="7"/>
  <c r="D16" i="7"/>
  <c r="R15" i="7"/>
  <c r="K45" i="16"/>
  <c r="I45" i="16"/>
  <c r="J45" i="16"/>
  <c r="L45" i="16"/>
  <c r="O15" i="16"/>
  <c r="H16" i="14"/>
  <c r="G16" i="14"/>
  <c r="G17" i="15"/>
  <c r="H17" i="15"/>
  <c r="P15" i="16"/>
  <c r="R15" i="16"/>
  <c r="O45" i="16"/>
  <c r="P45" i="16"/>
  <c r="Q45" i="16"/>
  <c r="R45" i="16"/>
  <c r="D46" i="16"/>
  <c r="K16" i="14"/>
  <c r="I16" i="14"/>
  <c r="J16" i="14"/>
  <c r="J17" i="15"/>
  <c r="I17" i="15"/>
  <c r="K17" i="15"/>
  <c r="L17" i="15"/>
  <c r="O17" i="15"/>
  <c r="G16" i="7"/>
  <c r="H16" i="7"/>
  <c r="D16" i="16"/>
  <c r="R17" i="15"/>
  <c r="L16" i="14"/>
  <c r="G46" i="16"/>
  <c r="H46" i="16"/>
  <c r="H16" i="16"/>
  <c r="G16" i="16"/>
  <c r="D18" i="15"/>
  <c r="J16" i="7"/>
  <c r="I16" i="7"/>
  <c r="K16" i="7"/>
  <c r="O16" i="14"/>
  <c r="J46" i="16"/>
  <c r="I46" i="16"/>
  <c r="L46" i="16"/>
  <c r="K46" i="16"/>
  <c r="K16" i="16"/>
  <c r="I16" i="16"/>
  <c r="J16" i="16"/>
  <c r="L16" i="16"/>
  <c r="G18" i="15"/>
  <c r="H18" i="15"/>
  <c r="J18" i="15"/>
  <c r="L16" i="7"/>
  <c r="D17" i="14"/>
  <c r="O16" i="7"/>
  <c r="O46" i="16"/>
  <c r="P46" i="16"/>
  <c r="Q46" i="16"/>
  <c r="R46" i="16"/>
  <c r="D47" i="16"/>
  <c r="O16" i="16"/>
  <c r="H17" i="14"/>
  <c r="J17" i="14"/>
  <c r="G17" i="14"/>
  <c r="I18" i="15"/>
  <c r="K18" i="15"/>
  <c r="P16" i="16"/>
  <c r="R16" i="16"/>
  <c r="R16" i="14"/>
  <c r="R16" i="7"/>
  <c r="D17" i="7"/>
  <c r="G17" i="7"/>
  <c r="G47" i="16"/>
  <c r="H47" i="16"/>
  <c r="J47" i="16"/>
  <c r="D17" i="16"/>
  <c r="I17" i="14"/>
  <c r="K17" i="14"/>
  <c r="L17" i="14"/>
  <c r="L18" i="15"/>
  <c r="O18" i="15"/>
  <c r="H17" i="7"/>
  <c r="R18" i="15"/>
  <c r="O17" i="14"/>
  <c r="D18" i="14"/>
  <c r="R17" i="14"/>
  <c r="K47" i="16"/>
  <c r="I47" i="16"/>
  <c r="L47" i="16"/>
  <c r="G17" i="16"/>
  <c r="H17" i="16"/>
  <c r="D19" i="15"/>
  <c r="J17" i="7"/>
  <c r="I17" i="7"/>
  <c r="K17" i="7"/>
  <c r="O47" i="16"/>
  <c r="J17" i="16"/>
  <c r="I17" i="16"/>
  <c r="K17" i="16"/>
  <c r="H19" i="15"/>
  <c r="G19" i="15"/>
  <c r="L17" i="7"/>
  <c r="L17" i="16"/>
  <c r="O17" i="7"/>
  <c r="D18" i="7"/>
  <c r="R17" i="7"/>
  <c r="P47" i="16"/>
  <c r="Q47" i="16"/>
  <c r="R47" i="16"/>
  <c r="D48" i="16"/>
  <c r="O17" i="16"/>
  <c r="G18" i="14"/>
  <c r="H18" i="14"/>
  <c r="J18" i="14"/>
  <c r="K19" i="15"/>
  <c r="I19" i="15"/>
  <c r="L19" i="15"/>
  <c r="O19" i="15"/>
  <c r="R19" i="15"/>
  <c r="J19" i="15"/>
  <c r="P17" i="16"/>
  <c r="R17" i="16"/>
  <c r="G48" i="16"/>
  <c r="H48" i="16"/>
  <c r="D18" i="16"/>
  <c r="K18" i="14"/>
  <c r="I18" i="14"/>
  <c r="L18" i="14"/>
  <c r="D20" i="15"/>
  <c r="H18" i="7"/>
  <c r="G18" i="7"/>
  <c r="O18" i="14"/>
  <c r="R18" i="14"/>
  <c r="J48" i="16"/>
  <c r="I48" i="16"/>
  <c r="L48" i="16"/>
  <c r="K48" i="16"/>
  <c r="G18" i="16"/>
  <c r="H18" i="16"/>
  <c r="J18" i="16"/>
  <c r="G20" i="15"/>
  <c r="H20" i="15"/>
  <c r="I18" i="7"/>
  <c r="K18" i="7"/>
  <c r="J18" i="7"/>
  <c r="L18" i="7"/>
  <c r="O18" i="7"/>
  <c r="D19" i="7"/>
  <c r="R18" i="7"/>
  <c r="D19" i="14"/>
  <c r="O48" i="16"/>
  <c r="P48" i="16"/>
  <c r="Q48" i="16"/>
  <c r="R48" i="16"/>
  <c r="D49" i="16"/>
  <c r="I18" i="16"/>
  <c r="K18" i="16"/>
  <c r="L18" i="16"/>
  <c r="J20" i="15"/>
  <c r="K20" i="15"/>
  <c r="I20" i="15"/>
  <c r="L20" i="15"/>
  <c r="O20" i="15"/>
  <c r="R20" i="15"/>
  <c r="G49" i="16"/>
  <c r="H49" i="16"/>
  <c r="O18" i="16"/>
  <c r="P18" i="16"/>
  <c r="H19" i="14"/>
  <c r="J19" i="14"/>
  <c r="G19" i="14"/>
  <c r="D21" i="15"/>
  <c r="G19" i="7"/>
  <c r="H19" i="7"/>
  <c r="J49" i="16"/>
  <c r="I49" i="16"/>
  <c r="L49" i="16"/>
  <c r="K49" i="16"/>
  <c r="R18" i="16"/>
  <c r="D19" i="16"/>
  <c r="I19" i="14"/>
  <c r="K19" i="14"/>
  <c r="L19" i="14"/>
  <c r="G21" i="15"/>
  <c r="H21" i="15"/>
  <c r="J19" i="7"/>
  <c r="I19" i="7"/>
  <c r="K19" i="7"/>
  <c r="O19" i="14"/>
  <c r="O49" i="16"/>
  <c r="Q49" i="16"/>
  <c r="R49" i="16"/>
  <c r="D50" i="16"/>
  <c r="G19" i="16"/>
  <c r="H19" i="16"/>
  <c r="J21" i="15"/>
  <c r="K21" i="15"/>
  <c r="I21" i="15"/>
  <c r="L19" i="7"/>
  <c r="D20" i="14"/>
  <c r="O19" i="7"/>
  <c r="L21" i="15"/>
  <c r="O21" i="15"/>
  <c r="R21" i="15"/>
  <c r="G50" i="16"/>
  <c r="H50" i="16"/>
  <c r="J19" i="16"/>
  <c r="K19" i="16"/>
  <c r="I19" i="16"/>
  <c r="L19" i="16"/>
  <c r="D22" i="15"/>
  <c r="R19" i="14"/>
  <c r="D20" i="7"/>
  <c r="J50" i="16"/>
  <c r="K50" i="16"/>
  <c r="I50" i="16"/>
  <c r="L50" i="16"/>
  <c r="O19" i="16"/>
  <c r="G20" i="14"/>
  <c r="H20" i="14"/>
  <c r="J20" i="14"/>
  <c r="H22" i="15"/>
  <c r="J22" i="15"/>
  <c r="G22" i="15"/>
  <c r="G20" i="7"/>
  <c r="H20" i="7"/>
  <c r="D20" i="16"/>
  <c r="G20" i="16"/>
  <c r="R19" i="7"/>
  <c r="O50" i="16"/>
  <c r="Q50" i="16"/>
  <c r="R50" i="16"/>
  <c r="D51" i="16"/>
  <c r="K20" i="14"/>
  <c r="I20" i="14"/>
  <c r="L20" i="14"/>
  <c r="K22" i="15"/>
  <c r="I22" i="15"/>
  <c r="L22" i="15"/>
  <c r="O22" i="15"/>
  <c r="R22" i="15"/>
  <c r="J20" i="7"/>
  <c r="I20" i="7"/>
  <c r="K20" i="7"/>
  <c r="H20" i="16"/>
  <c r="J20" i="16"/>
  <c r="R19" i="16"/>
  <c r="O20" i="14"/>
  <c r="H51" i="16"/>
  <c r="J51" i="16"/>
  <c r="G51" i="16"/>
  <c r="K20" i="16"/>
  <c r="I20" i="16"/>
  <c r="L20" i="16"/>
  <c r="D23" i="15"/>
  <c r="L20" i="7"/>
  <c r="D21" i="14"/>
  <c r="O20" i="7"/>
  <c r="K51" i="16"/>
  <c r="I51" i="16"/>
  <c r="O20" i="16"/>
  <c r="H23" i="15"/>
  <c r="J23" i="15"/>
  <c r="G23" i="15"/>
  <c r="P20" i="16"/>
  <c r="R20" i="16"/>
  <c r="D21" i="7"/>
  <c r="G21" i="7"/>
  <c r="L51" i="16"/>
  <c r="H21" i="14"/>
  <c r="G21" i="14"/>
  <c r="K23" i="15"/>
  <c r="I23" i="15"/>
  <c r="L23" i="15"/>
  <c r="R23" i="15"/>
  <c r="H21" i="7"/>
  <c r="R20" i="7"/>
  <c r="O51" i="16"/>
  <c r="Q51" i="16"/>
  <c r="R51" i="16"/>
  <c r="D52" i="16"/>
  <c r="G21" i="16"/>
  <c r="H21" i="16"/>
  <c r="K21" i="14"/>
  <c r="I21" i="14"/>
  <c r="J21" i="14"/>
  <c r="J21" i="7"/>
  <c r="I21" i="7"/>
  <c r="K21" i="7"/>
  <c r="L21" i="14"/>
  <c r="O21" i="14"/>
  <c r="H52" i="16"/>
  <c r="J52" i="16"/>
  <c r="G52" i="16"/>
  <c r="J21" i="16"/>
  <c r="K21" i="16"/>
  <c r="I21" i="16"/>
  <c r="L21" i="16"/>
  <c r="L21" i="7"/>
  <c r="D22" i="14"/>
  <c r="O21" i="7"/>
  <c r="I52" i="16"/>
  <c r="K52" i="16"/>
  <c r="O21" i="16"/>
  <c r="R21" i="16"/>
  <c r="D22" i="7"/>
  <c r="L52" i="16"/>
  <c r="D22" i="16"/>
  <c r="G22" i="14"/>
  <c r="H22" i="14"/>
  <c r="G22" i="7"/>
  <c r="H22" i="7"/>
  <c r="J22" i="7"/>
  <c r="R21" i="7"/>
  <c r="O52" i="16"/>
  <c r="Q52" i="16"/>
  <c r="R52" i="16"/>
  <c r="D53" i="16"/>
  <c r="G22" i="16"/>
  <c r="H22" i="16"/>
  <c r="H53" i="16"/>
  <c r="J53" i="16"/>
  <c r="G53" i="16"/>
  <c r="J22" i="14"/>
  <c r="I22" i="14"/>
  <c r="K22" i="14"/>
  <c r="K22" i="7"/>
  <c r="I22" i="7"/>
  <c r="J22" i="16"/>
  <c r="K22" i="16"/>
  <c r="I22" i="16"/>
  <c r="L22" i="16"/>
  <c r="K53" i="16"/>
  <c r="I53" i="16"/>
  <c r="L53" i="16"/>
  <c r="O53" i="16"/>
  <c r="Q53" i="16"/>
  <c r="R53" i="16"/>
  <c r="L22" i="14"/>
  <c r="L22" i="7"/>
  <c r="O22" i="7"/>
  <c r="O22" i="14"/>
  <c r="O22" i="16"/>
  <c r="D23" i="16"/>
  <c r="G23" i="16"/>
  <c r="D23" i="14"/>
  <c r="D23" i="7"/>
  <c r="G23" i="14"/>
  <c r="H23" i="14"/>
  <c r="J23" i="14"/>
  <c r="H23" i="16"/>
  <c r="J23" i="16"/>
  <c r="R22" i="16"/>
  <c r="R22" i="7"/>
  <c r="I23" i="16"/>
  <c r="K23" i="16"/>
  <c r="K23" i="14"/>
  <c r="I23" i="14"/>
  <c r="H23" i="7"/>
  <c r="J23" i="7"/>
  <c r="G23" i="7"/>
  <c r="L23" i="16"/>
  <c r="O23" i="16"/>
  <c r="L23" i="14"/>
  <c r="O23" i="14"/>
  <c r="K23" i="7"/>
  <c r="I23" i="7"/>
  <c r="L23" i="7"/>
  <c r="O23" i="7"/>
  <c r="P23" i="16"/>
  <c r="R23" i="16"/>
  <c r="R23" i="14"/>
  <c r="R2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Гость</author>
  </authors>
  <commentList>
    <comment ref="B2" authorId="0" shapeId="0" xr:uid="{5711BAE0-8D0A-4230-9561-E4329FF1034D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
RUONIA+1,65%</t>
        </r>
      </text>
    </comment>
    <comment ref="B3" authorId="0" shapeId="0" xr:uid="{7CB93D4C-F895-40F9-B8EE-D00F850953AA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Автор:RUONIA+1,7%</t>
        </r>
      </text>
    </comment>
    <comment ref="B4" authorId="0" shapeId="0" xr:uid="{A50D80AB-1745-41EC-B237-4107BCFBB6FD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Автор:RUONIA+1,65%</t>
        </r>
      </text>
    </comment>
    <comment ref="B5" authorId="0" shapeId="0" xr:uid="{47BFC506-F383-45AA-B767-B5E465B76FD4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Автор:RUONIA+1,55%</t>
        </r>
      </text>
    </comment>
    <comment ref="B6" authorId="0" shapeId="0" xr:uid="{D3D59D3C-315C-4C31-A6B1-E8273CE43ECC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Автор:RUONIA+1,05%</t>
        </r>
      </text>
    </comment>
    <comment ref="B7" authorId="0" shapeId="0" xr:uid="{E1FB1E0E-DD88-432A-85B4-360BFC48E27D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Автор:RUONIA+1,35%</t>
        </r>
      </text>
    </comment>
    <comment ref="B8" authorId="0" shapeId="0" xr:uid="{6F4F9C96-DA4E-491D-964A-23284E8CB705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Автор:RUONIA+1,3%</t>
        </r>
      </text>
    </comment>
    <comment ref="B9" authorId="0" shapeId="0" xr:uid="{832E4BFC-E2D2-4BF7-A935-8762E25CC2BD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Автор:RUONIA+2%</t>
        </r>
      </text>
    </comment>
    <comment ref="B10" authorId="0" shapeId="0" xr:uid="{1CFF7F86-6700-4BED-86F8-A0B7DF41DCC0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Автор:RUONIA+2%</t>
        </r>
      </text>
    </comment>
    <comment ref="B11" authorId="0" shapeId="0" xr:uid="{22F69103-3DB9-4E27-B26B-D83C3A47778A}">
      <text>
        <r>
          <rPr>
            <sz val="11"/>
            <color theme="1"/>
            <rFont val="Aptos Narrow"/>
            <family val="2"/>
            <charset val="204"/>
            <scheme val="minor"/>
          </rPr>
          <t>Автор:RUONIA+2%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Муслим</author>
  </authors>
  <commentList>
    <comment ref="F4" authorId="0" shapeId="0" xr:uid="{06E956AA-5647-4553-A211-A15AF6D1A625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
</t>
        </r>
      </text>
    </comment>
    <comment ref="F5" authorId="0" shapeId="0" xr:uid="{E89B4C95-A1B1-4750-BA16-CB5ED8D84831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</text>
    </comment>
    <comment ref="F6" authorId="0" shapeId="0" xr:uid="{EF80F5C4-ABCF-42E5-8602-D3FE13D13F3C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
</t>
        </r>
      </text>
    </comment>
    <comment ref="F7" authorId="0" shapeId="0" xr:uid="{1BC14AC7-794A-43A2-A3D8-9EA06A129EF4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</text>
    </comment>
    <comment ref="F8" authorId="0" shapeId="0" xr:uid="{E260CEE0-6DEF-4750-B78D-30B37ED30AE8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9" authorId="0" shapeId="0" xr:uid="{17E04B4A-3C0E-4C8F-B23A-34E35889D363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0" authorId="0" shapeId="0" xr:uid="{DF02187B-1BFC-459A-BDB1-CC29DD86E677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1" authorId="0" shapeId="0" xr:uid="{9BB93E66-1346-4FF1-AE3F-23D1DB850E69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2" authorId="0" shapeId="0" xr:uid="{FCD207AC-0529-43A9-80E8-5FFBB77270A4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3" authorId="0" shapeId="0" xr:uid="{EE9EA427-2E35-4D35-9C7A-7DDDE820E01D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 Источник: Московская биржа. Коэффициенты корреляции и «бета» [Электронный ресурс]. – Режим доступа: https://www.moex.com/ru/spot/coefficients-values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<sst xmlns="http://schemas.openxmlformats.org/spreadsheetml/2006/main" count="491" uniqueCount="251">
  <si>
    <t>ПЕРСОНАЛЬНАЯ ИНФОРМАЦИЯ</t>
  </si>
  <si>
    <t>Имя</t>
  </si>
  <si>
    <t>Руслан</t>
  </si>
  <si>
    <t>Бывший спортсмен, завершил карьеру</t>
  </si>
  <si>
    <t>Возраст</t>
  </si>
  <si>
    <t>41 год</t>
  </si>
  <si>
    <t>Статус</t>
  </si>
  <si>
    <t>Безработный (по выбору)</t>
  </si>
  <si>
    <t>Хочет жить на инвестиции</t>
  </si>
  <si>
    <t>Дата оценки</t>
  </si>
  <si>
    <t>Декабрь 2025</t>
  </si>
  <si>
    <t>Текущий момент: конец 2025 года</t>
  </si>
  <si>
    <t>СЕМЬЯ</t>
  </si>
  <si>
    <t>Супруга</t>
  </si>
  <si>
    <t>Жена</t>
  </si>
  <si>
    <t>Дети</t>
  </si>
  <si>
    <t>3 детей школьного возраста</t>
  </si>
  <si>
    <t>ИМУЩЕСТВО И АКТИВЫ</t>
  </si>
  <si>
    <t>Квартира в Москве</t>
  </si>
  <si>
    <t>42,500,000 ₽</t>
  </si>
  <si>
    <t>Жилое помещение в центре</t>
  </si>
  <si>
    <t>2 частных дома</t>
  </si>
  <si>
    <t>165 700 000 *2=331 400 000₽</t>
  </si>
  <si>
    <t>Дома в элитном подмосковном посёлке</t>
  </si>
  <si>
    <t>Дом в Дубае</t>
  </si>
  <si>
    <t>630,000 USD (~48 млн ₽)</t>
  </si>
  <si>
    <t>Международная собственность</t>
  </si>
  <si>
    <t>ИТОГО НЕДВИЖИМОСТЬ</t>
  </si>
  <si>
    <t>Может быть ликвидирована при необходимости</t>
  </si>
  <si>
    <t>Деньги на депозите в России</t>
  </si>
  <si>
    <t>900 000 000 ₽</t>
  </si>
  <si>
    <t>ОСНОВНОЙ КАПИТАЛ ДЛЯ ИНВЕСТИЦИЙ</t>
  </si>
  <si>
    <t>Деньги в банке в Дубае</t>
  </si>
  <si>
    <t>500 000$=38 000 000</t>
  </si>
  <si>
    <t>ЕЩЕ КАПИТАЛ ДЛЯ ИНВЕСТИЦИЙ (1$=76руб)</t>
  </si>
  <si>
    <t>ОБЩЕЕ СОСТОЯНИЕ</t>
  </si>
  <si>
    <t>Недвижимость + Наличные</t>
  </si>
  <si>
    <t>ФИНАНСОВЫЕ ПАРАМЕТРЫ</t>
  </si>
  <si>
    <t>Годовые расходы</t>
  </si>
  <si>
    <t>48,000,000 ₽ (4 млн/мес)</t>
  </si>
  <si>
    <t>Включает содержание семьи из 4 человек</t>
  </si>
  <si>
    <t>Резервный фонд</t>
  </si>
  <si>
    <t>281,400,000 ₽ (30%)</t>
  </si>
  <si>
    <t>Сумма для инвестиций</t>
  </si>
  <si>
    <t>656,600,000 ₽ (70%)</t>
  </si>
  <si>
    <t>На брокерский счет для портфеля</t>
  </si>
  <si>
    <t>ПСИХОЛОГИЧЕСКИЙ ПРОФИЛЬ</t>
  </si>
  <si>
    <t>Отношение к риску</t>
  </si>
  <si>
    <t xml:space="preserve">КОНСЕРВАТИВНЫЙ </t>
  </si>
  <si>
    <t>Предпочитает надежность росту</t>
  </si>
  <si>
    <t>Отношение к работе</t>
  </si>
  <si>
    <t>Не хочет работать</t>
  </si>
  <si>
    <t>Хочет жить на пассивный доход</t>
  </si>
  <si>
    <t>Готовность к падению</t>
  </si>
  <si>
    <t>СРЕДНЯЯ (нужна подушка)</t>
  </si>
  <si>
    <t>Нужен резерв для психологического комфорта</t>
  </si>
  <si>
    <t>ФИНАНСОВЫЕ ЦЕЛИ</t>
  </si>
  <si>
    <t>Основная цель</t>
  </si>
  <si>
    <t>Критическое падение</t>
  </si>
  <si>
    <t>Доход акций</t>
  </si>
  <si>
    <t>Доход облигаций</t>
  </si>
  <si>
    <t>Инфляция</t>
  </si>
  <si>
    <t>Причина</t>
  </si>
  <si>
    <t>Стагфляция</t>
  </si>
  <si>
    <t>Комментарий</t>
  </si>
  <si>
    <t>Оптимистичный сценарий</t>
  </si>
  <si>
    <t>Кризис</t>
  </si>
  <si>
    <t>Основные параметры</t>
  </si>
  <si>
    <t>Портфель</t>
  </si>
  <si>
    <t>Чем вызван сценарий</t>
  </si>
  <si>
    <t>Более волатильный рынок с циклами</t>
  </si>
  <si>
    <t>Причина 1</t>
  </si>
  <si>
    <t>Экономический кризис со стагфляцией</t>
  </si>
  <si>
    <t>Стабильное развитие российского рынка</t>
  </si>
  <si>
    <t>Условия</t>
  </si>
  <si>
    <t>Благоприятные условия чередуются с падениями</t>
  </si>
  <si>
    <t>Причина 2</t>
  </si>
  <si>
    <t>Санкции и геополитическая напряженность</t>
  </si>
  <si>
    <t>Отсутствие масштабных кризисов</t>
  </si>
  <si>
    <t>Предпосылка</t>
  </si>
  <si>
    <t>Периодические просадки акций на -10%</t>
  </si>
  <si>
    <t>Причина 3</t>
  </si>
  <si>
    <t>Коллапс финансовых рынков</t>
  </si>
  <si>
    <t>Сохранение доходности активов</t>
  </si>
  <si>
    <t>Что меняется и на сколько</t>
  </si>
  <si>
    <t>Причина 4</t>
  </si>
  <si>
    <t>Высокая инфляция + низкие доходы активов</t>
  </si>
  <si>
    <t>Базовый уровень</t>
  </si>
  <si>
    <t>Выше чем в базовом</t>
  </si>
  <si>
    <t>Нижняя инфляция</t>
  </si>
  <si>
    <t>Облигации теряют ценность</t>
  </si>
  <si>
    <t>Нормальная инфляция</t>
  </si>
  <si>
    <t>Расходы</t>
  </si>
  <si>
    <t>+6.71% ежегодно</t>
  </si>
  <si>
    <t>Растут медленнее</t>
  </si>
  <si>
    <t>+7.71% ежегодно</t>
  </si>
  <si>
    <t>Индексируются на инфляцию</t>
  </si>
  <si>
    <t>Растут быстро доходов</t>
  </si>
  <si>
    <t>Риски</t>
  </si>
  <si>
    <t>Риск 1</t>
  </si>
  <si>
    <t>Риск 2</t>
  </si>
  <si>
    <t>Риск 3</t>
  </si>
  <si>
    <t>РФ может быть более инфляционна</t>
  </si>
  <si>
    <t>Ключевые показатели</t>
  </si>
  <si>
    <t>Финальный портфель</t>
  </si>
  <si>
    <t>Название</t>
  </si>
  <si>
    <t>Тикер</t>
  </si>
  <si>
    <t>Премия</t>
  </si>
  <si>
    <t>Доля</t>
  </si>
  <si>
    <t>КС 2026</t>
  </si>
  <si>
    <t>Доходность 2026</t>
  </si>
  <si>
    <t>КС 2027</t>
  </si>
  <si>
    <t>Доходность 2027</t>
  </si>
  <si>
    <t>КС 2028</t>
  </si>
  <si>
    <t xml:space="preserve">Доходность после </t>
  </si>
  <si>
    <t>ВЭБ.РФ ПБО-002Р-37</t>
  </si>
  <si>
    <t>RU000A106LL5</t>
  </si>
  <si>
    <t>ВЭБ.РФ ПБО-002Р-36</t>
  </si>
  <si>
    <t>RU000A105YH8</t>
  </si>
  <si>
    <t>ВЭБ.РФ ПБО-002Р-38</t>
  </si>
  <si>
    <t>RU000A106WW9</t>
  </si>
  <si>
    <t>ВЭБ.РФ ПБО-002Р-31</t>
  </si>
  <si>
    <t>RU000A1042W6</t>
  </si>
  <si>
    <t>ДОМ.РФ ПАО 002P-04</t>
  </si>
  <si>
    <t>RU000A108FC2</t>
  </si>
  <si>
    <t>ДОМ.РФ ПАО 002P-01</t>
  </si>
  <si>
    <t>RU000A105MN1</t>
  </si>
  <si>
    <t>Газпром нефть БО 003P-13R</t>
  </si>
  <si>
    <t>RU000A109B33</t>
  </si>
  <si>
    <t>ФосАгро БО-02-01</t>
  </si>
  <si>
    <t>RU000A10A4S7</t>
  </si>
  <si>
    <t>РусГидро БО-002Р-01</t>
  </si>
  <si>
    <t>RU000A10A349</t>
  </si>
  <si>
    <t>Совкомбанк БО-П05</t>
  </si>
  <si>
    <t>RU000A109VL8</t>
  </si>
  <si>
    <t>Замещающие облигации</t>
  </si>
  <si>
    <t>RU000A106G80</t>
  </si>
  <si>
    <t>Общая доходность в п.п.</t>
  </si>
  <si>
    <t>Общая доходность в %</t>
  </si>
  <si>
    <t>Среднегодовой темп обесценивания рубля</t>
  </si>
  <si>
    <t xml:space="preserve">Акции-60% от портфеля </t>
  </si>
  <si>
    <t>Компания</t>
  </si>
  <si>
    <t>Сектор</t>
  </si>
  <si>
    <t xml:space="preserve">Доля относительно акций </t>
  </si>
  <si>
    <t>Доля относительно портфеля</t>
  </si>
  <si>
    <t>β</t>
  </si>
  <si>
    <t>Ожидаемая доходность акций</t>
  </si>
  <si>
    <t>Средний доход по дивидендам за 5 лет в % (с 2020 по 2025 включая)</t>
  </si>
  <si>
    <t>ПАО "Сбербанк"</t>
  </si>
  <si>
    <t>SBER</t>
  </si>
  <si>
    <t>Финансовый сектор</t>
  </si>
  <si>
    <t>ПАО "Газпром"</t>
  </si>
  <si>
    <t>GAZP</t>
  </si>
  <si>
    <t>Энергетика</t>
  </si>
  <si>
    <t>ПАО "Московская биржа"</t>
  </si>
  <si>
    <t>MOEX</t>
  </si>
  <si>
    <t>ООО "Фосагро"</t>
  </si>
  <si>
    <t>PHOR</t>
  </si>
  <si>
    <t>Сырьевая промышленность</t>
  </si>
  <si>
    <t>ПАО "РусГидро"</t>
  </si>
  <si>
    <t>HYDR</t>
  </si>
  <si>
    <t>Электроэнергетика</t>
  </si>
  <si>
    <t>ПАО "Роснефть"</t>
  </si>
  <si>
    <t>ROSN</t>
  </si>
  <si>
    <t>ПАО "Лукойл"</t>
  </si>
  <si>
    <t>LKOH</t>
  </si>
  <si>
    <t>ПАО "МТС"</t>
  </si>
  <si>
    <t>MTSS</t>
  </si>
  <si>
    <t>Телекоммуникации</t>
  </si>
  <si>
    <t>ПАО "Татнефть"</t>
  </si>
  <si>
    <t>TATN</t>
  </si>
  <si>
    <t>ООО "Яндекс"</t>
  </si>
  <si>
    <t>YNDX</t>
  </si>
  <si>
    <t>Информационные технологии</t>
  </si>
  <si>
    <t>Ключевая ставка %</t>
  </si>
  <si>
    <t>Премия за риск</t>
  </si>
  <si>
    <t> </t>
  </si>
  <si>
    <t>Брокерский счет</t>
  </si>
  <si>
    <t>Доходость акций</t>
  </si>
  <si>
    <t>Доходость облигаций</t>
  </si>
  <si>
    <t>Сумма направляемая на акции, руб</t>
  </si>
  <si>
    <t>Сумма направляемая на облигации, руб</t>
  </si>
  <si>
    <t>Рост акций, руб</t>
  </si>
  <si>
    <t>Купонный доход, руб</t>
  </si>
  <si>
    <t>Дивидендный доход, руб</t>
  </si>
  <si>
    <t>Стоимость портфеля на конец года, руб</t>
  </si>
  <si>
    <t>Резерв, руб</t>
  </si>
  <si>
    <t>Расходы, руб</t>
  </si>
  <si>
    <t>НДФЛ</t>
  </si>
  <si>
    <t>Отличие</t>
  </si>
  <si>
    <t>Условие</t>
  </si>
  <si>
    <t>Стресс-сценарий + активное сокращение расходов</t>
  </si>
  <si>
    <t>Руслан и семья готовы менять уровень жизни</t>
  </si>
  <si>
    <t>Требует постоянного контроля и гибкости</t>
  </si>
  <si>
    <t xml:space="preserve">НЕ МЕНЯЕТСЯ </t>
  </si>
  <si>
    <t>+3 п.п.</t>
  </si>
  <si>
    <t xml:space="preserve">+2 п.п. </t>
  </si>
  <si>
    <t>-1 п.п.</t>
  </si>
  <si>
    <t>Пессимистичный сценарий</t>
  </si>
  <si>
    <t>-6 п.п.</t>
  </si>
  <si>
    <t xml:space="preserve">-4 п.п. </t>
  </si>
  <si>
    <t xml:space="preserve">-10 п.п. </t>
  </si>
  <si>
    <t>-10 п.п.</t>
  </si>
  <si>
    <t>Дисциплина "Финансы"</t>
  </si>
  <si>
    <t xml:space="preserve">Проект по портфельному менеджменту </t>
  </si>
  <si>
    <t>Авторы</t>
  </si>
  <si>
    <t>Бекмурзаева Халима Э310</t>
  </si>
  <si>
    <t>Кикенова Алина Э310</t>
  </si>
  <si>
    <t>Угрюмова Полина Э310</t>
  </si>
  <si>
    <t>Капустина Алёна Э310</t>
  </si>
  <si>
    <t>Кузнецова Анастасия Э310</t>
  </si>
  <si>
    <t>Кафедра Финансы и кредит</t>
  </si>
  <si>
    <t xml:space="preserve">МГУ им. М.В.Ломоносова </t>
  </si>
  <si>
    <t>+9.71% ежегодно</t>
  </si>
  <si>
    <t>Если сократить расходы:</t>
  </si>
  <si>
    <t>+12.5% ежегодно</t>
  </si>
  <si>
    <t xml:space="preserve">+5,5 п.п. </t>
  </si>
  <si>
    <t>Базовый сценарий (см. лист "Ребалансировка портфеля")</t>
  </si>
  <si>
    <t>Консервативная психология инвестора при рыночной волатильности (переход с 60% акций на 80% облигаций)</t>
  </si>
  <si>
    <t>Валютный риск облигационного портфеля (девальвация рубля 5-10% в год съедает номинальную доходность облигаций)</t>
  </si>
  <si>
    <t xml:space="preserve">Непредвиденное увеличение расходов на образование детей </t>
  </si>
  <si>
    <t xml:space="preserve">Потребность в дополнительных школах, олимпиадной подготовке, спорте на профессиональном уровне </t>
  </si>
  <si>
    <t xml:space="preserve">Риск эмоциональных решений </t>
  </si>
  <si>
    <t>РФ может быть более инфляционна, нужна частичная защита в валюте</t>
  </si>
  <si>
    <t>Перекредитование или гарантирование обязательств третьих лиц (инвестиция в стартап 100 млн ₽)</t>
  </si>
  <si>
    <t>Высокие риски новых финансовых обязательств при эйфории, ожидаемое значение -40 млм за операцию</t>
  </si>
  <si>
    <t>Филантропия, инвестиции в стартапы, расширение недвижимости</t>
  </si>
  <si>
    <t xml:space="preserve">Расширение обязательств семьи из-за возросшего благосостояния </t>
  </si>
  <si>
    <t xml:space="preserve">Недостаточная диверсификация международных активов </t>
  </si>
  <si>
    <t>Возрастание обязательных платежей (инфляция 9.71% vs низкие доходы портфеля)</t>
  </si>
  <si>
    <t>Школа теряет репутацию и конкурентоспособность, программы сокращаются, потеря репутационного капитала</t>
  </si>
  <si>
    <t>Истощение резервного фонда и необходимость продажи недвижимости</t>
  </si>
  <si>
    <t>Резерв 281 млн истощается за 4-6 лет, спешная продажа дома с дисконтом 10-20% = потеря 15-25 млм</t>
  </si>
  <si>
    <t>Стагфляция: расходы растут, резерв исчезает к 2032-2033, "ножницы" сжимают портфель</t>
  </si>
  <si>
    <t xml:space="preserve">Сокращение финансирования спортшколы </t>
  </si>
  <si>
    <t>Психологические трудности от сокращения жизненного уровня на 25% (с 4 млн на 3 млн/месяц семейных расходов)</t>
  </si>
  <si>
    <t>Смена школ детей, сокращение услуг, иной уровень жизни = психологический стресс для семьи</t>
  </si>
  <si>
    <t>Невозможно финансировать школу в полном объеме (финансирование с 2 млн на 1 млн/месяц)</t>
  </si>
  <si>
    <t>Потребность в продаже недвижимости в условиях кризиса</t>
  </si>
  <si>
    <t>Спешная продажа дома на 140 млм вместо 165 млм = потеря 25-40 млм на операции</t>
  </si>
  <si>
    <t xml:space="preserve">Организационная сложность закрытия / передачи школы в муниципалитет или поиск альтернативного финансирования </t>
  </si>
  <si>
    <t>Кладёт на накоп счёт</t>
  </si>
  <si>
    <t>Накоп счет на конец года</t>
  </si>
  <si>
    <t>Вывод 4%</t>
  </si>
  <si>
    <t>Доп вывод</t>
  </si>
  <si>
    <t>9,4 млрд ₽</t>
  </si>
  <si>
    <t>10,2 млрд ₽</t>
  </si>
  <si>
    <t>6,6 млрд ₽</t>
  </si>
  <si>
    <t xml:space="preserve">Финансовая независимость </t>
  </si>
  <si>
    <t>Портфель покрывает все расходы</t>
  </si>
  <si>
    <t>8 млрд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</si>
</sst>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%"/>
    <numFmt numFmtId="165" formatCode="_-[$$-409]* #,##0_ ;_-[$$-409]* \-#,##0\ ;_-[$$-409]* &quot;-&quot;??_ ;_-@_ "/>
    <numFmt numFmtId="166" formatCode="#,##0\ &quot;₽&quot;"/>
    <numFmt numFmtId="167" formatCode="0.0"/>
    <numFmt numFmtId="168" formatCode="#,##0.00\ &quot;₽&quot;"/>
    <numFmt numFmtId="169" formatCode="_-* #,##0.0000_-;\-* #,##0.0000_-;_-* &quot;-&quot;??_-;_-@_-"/>
    <numFmt numFmtId="170" formatCode="_-* #,##0_-;\-* #,##0_-;_-* &quot;-&quot;??_-;_-@_-"/>
  </numFmts>
  <fonts count="2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  <font>
      <i/>
      <sz val="11"/>
      <color theme="1"/>
      <name val="Aptos Narrow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CEEF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EA8"/>
        <bgColor indexed="64"/>
      </patternFill>
    </fill>
    <fill>
      <patternFill patternType="solid">
        <fgColor rgb="FFFAAAAA"/>
        <bgColor indexed="64"/>
      </patternFill>
    </fill>
    <fill>
      <patternFill patternType="solid">
        <fgColor rgb="FF61FF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0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2" fillId="6" borderId="1" xfId="0" applyFont="1" applyFill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166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46" fontId="0" fillId="0" borderId="0" xfId="0" applyNumberFormat="1"/>
    <xf numFmtId="46" fontId="0" fillId="0" borderId="0" xfId="0" applyNumberFormat="1" applyAlignment="1">
      <alignment wrapText="1"/>
    </xf>
    <xf numFmtId="0" fontId="7" fillId="4" borderId="3" xfId="0" applyFont="1" applyFill="1" applyBorder="1"/>
    <xf numFmtId="0" fontId="8" fillId="0" borderId="0" xfId="0" applyFont="1"/>
    <xf numFmtId="0" fontId="7" fillId="2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8" fillId="0" borderId="3" xfId="0" applyFont="1" applyBorder="1"/>
    <xf numFmtId="164" fontId="8" fillId="0" borderId="3" xfId="0" applyNumberFormat="1" applyFont="1" applyBorder="1"/>
    <xf numFmtId="0" fontId="8" fillId="3" borderId="3" xfId="0" applyFont="1" applyFill="1" applyBorder="1"/>
    <xf numFmtId="9" fontId="8" fillId="0" borderId="3" xfId="0" applyNumberFormat="1" applyFont="1" applyBorder="1"/>
    <xf numFmtId="10" fontId="8" fillId="0" borderId="3" xfId="0" applyNumberFormat="1" applyFont="1" applyBorder="1"/>
    <xf numFmtId="0" fontId="8" fillId="0" borderId="0" xfId="0" applyFont="1" applyAlignment="1">
      <alignment wrapText="1"/>
    </xf>
    <xf numFmtId="10" fontId="8" fillId="0" borderId="0" xfId="0" applyNumberFormat="1" applyFont="1"/>
    <xf numFmtId="0" fontId="8" fillId="0" borderId="3" xfId="0" applyFont="1" applyBorder="1" applyAlignment="1">
      <alignment wrapText="1"/>
    </xf>
    <xf numFmtId="0" fontId="11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43" fontId="11" fillId="0" borderId="1" xfId="1" applyFont="1" applyBorder="1" applyAlignment="1">
      <alignment horizontal="left" vertical="center"/>
    </xf>
    <xf numFmtId="0" fontId="12" fillId="0" borderId="3" xfId="0" applyFont="1" applyBorder="1"/>
    <xf numFmtId="10" fontId="11" fillId="0" borderId="1" xfId="1" applyNumberFormat="1" applyFont="1" applyBorder="1" applyAlignment="1">
      <alignment horizontal="left" vertical="center"/>
    </xf>
    <xf numFmtId="10" fontId="11" fillId="0" borderId="1" xfId="0" applyNumberFormat="1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10" fontId="11" fillId="0" borderId="4" xfId="1" applyNumberFormat="1" applyFont="1" applyBorder="1" applyAlignment="1">
      <alignment horizontal="left" vertical="center"/>
    </xf>
    <xf numFmtId="43" fontId="11" fillId="0" borderId="0" xfId="0" applyNumberFormat="1" applyFont="1"/>
    <xf numFmtId="167" fontId="11" fillId="0" borderId="0" xfId="0" applyNumberFormat="1" applyFont="1" applyAlignment="1">
      <alignment horizontal="left" vertical="center"/>
    </xf>
    <xf numFmtId="10" fontId="11" fillId="0" borderId="0" xfId="0" applyNumberFormat="1" applyFont="1"/>
    <xf numFmtId="0" fontId="10" fillId="0" borderId="0" xfId="0" applyFont="1"/>
    <xf numFmtId="0" fontId="7" fillId="0" borderId="1" xfId="0" applyFont="1" applyBorder="1"/>
    <xf numFmtId="0" fontId="10" fillId="6" borderId="4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7" fillId="0" borderId="5" xfId="0" applyFont="1" applyBorder="1"/>
    <xf numFmtId="43" fontId="7" fillId="0" borderId="1" xfId="1" applyFont="1" applyBorder="1"/>
    <xf numFmtId="0" fontId="7" fillId="0" borderId="1" xfId="0" applyFont="1" applyBorder="1" applyAlignment="1">
      <alignment horizontal="center"/>
    </xf>
    <xf numFmtId="169" fontId="8" fillId="0" borderId="1" xfId="0" applyNumberFormat="1" applyFont="1" applyBorder="1"/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168" fontId="8" fillId="0" borderId="1" xfId="0" applyNumberFormat="1" applyFont="1" applyBorder="1"/>
    <xf numFmtId="0" fontId="15" fillId="0" borderId="1" xfId="0" applyFont="1" applyBorder="1"/>
    <xf numFmtId="169" fontId="8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168" fontId="8" fillId="0" borderId="1" xfId="0" applyNumberFormat="1" applyFont="1" applyBorder="1" applyAlignment="1">
      <alignment vertical="top"/>
    </xf>
    <xf numFmtId="0" fontId="7" fillId="5" borderId="5" xfId="0" applyFont="1" applyFill="1" applyBorder="1"/>
    <xf numFmtId="0" fontId="16" fillId="8" borderId="1" xfId="0" applyFont="1" applyFill="1" applyBorder="1"/>
    <xf numFmtId="10" fontId="9" fillId="8" borderId="1" xfId="0" applyNumberFormat="1" applyFont="1" applyFill="1" applyBorder="1"/>
    <xf numFmtId="9" fontId="9" fillId="8" borderId="1" xfId="0" applyNumberFormat="1" applyFont="1" applyFill="1" applyBorder="1"/>
    <xf numFmtId="46" fontId="8" fillId="0" borderId="0" xfId="0" applyNumberFormat="1" applyFont="1"/>
    <xf numFmtId="0" fontId="13" fillId="6" borderId="1" xfId="0" applyFont="1" applyFill="1" applyBorder="1"/>
    <xf numFmtId="0" fontId="17" fillId="7" borderId="1" xfId="0" applyFont="1" applyFill="1" applyBorder="1" applyAlignment="1">
      <alignment vertical="center" wrapText="1"/>
    </xf>
    <xf numFmtId="0" fontId="7" fillId="6" borderId="7" xfId="0" applyFont="1" applyFill="1" applyBorder="1"/>
    <xf numFmtId="0" fontId="7" fillId="6" borderId="2" xfId="0" applyFont="1" applyFill="1" applyBorder="1"/>
    <xf numFmtId="0" fontId="10" fillId="8" borderId="1" xfId="0" applyFont="1" applyFill="1" applyBorder="1" applyAlignment="1">
      <alignment horizontal="left" vertical="center"/>
    </xf>
    <xf numFmtId="164" fontId="10" fillId="8" borderId="1" xfId="0" applyNumberFormat="1" applyFont="1" applyFill="1" applyBorder="1"/>
    <xf numFmtId="9" fontId="10" fillId="8" borderId="1" xfId="0" applyNumberFormat="1" applyFont="1" applyFill="1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43" fontId="8" fillId="0" borderId="1" xfId="1" applyFont="1" applyBorder="1"/>
    <xf numFmtId="0" fontId="8" fillId="9" borderId="1" xfId="0" applyFont="1" applyFill="1" applyBorder="1"/>
    <xf numFmtId="0" fontId="12" fillId="4" borderId="3" xfId="0" applyFont="1" applyFill="1" applyBorder="1"/>
    <xf numFmtId="0" fontId="10" fillId="10" borderId="1" xfId="0" applyFont="1" applyFill="1" applyBorder="1" applyAlignment="1">
      <alignment horizontal="center"/>
    </xf>
    <xf numFmtId="0" fontId="12" fillId="2" borderId="1" xfId="0" applyFont="1" applyFill="1" applyBorder="1"/>
    <xf numFmtId="0" fontId="11" fillId="2" borderId="1" xfId="0" applyFont="1" applyFill="1" applyBorder="1"/>
    <xf numFmtId="0" fontId="12" fillId="11" borderId="1" xfId="0" applyFont="1" applyFill="1" applyBorder="1"/>
    <xf numFmtId="0" fontId="12" fillId="11" borderId="1" xfId="0" quotePrefix="1" applyFont="1" applyFill="1" applyBorder="1"/>
    <xf numFmtId="0" fontId="12" fillId="12" borderId="1" xfId="0" applyFont="1" applyFill="1" applyBorder="1"/>
    <xf numFmtId="0" fontId="12" fillId="12" borderId="1" xfId="0" applyFont="1" applyFill="1" applyBorder="1" applyAlignment="1">
      <alignment wrapText="1"/>
    </xf>
    <xf numFmtId="0" fontId="10" fillId="13" borderId="1" xfId="0" applyFont="1" applyFill="1" applyBorder="1" applyAlignment="1">
      <alignment horizontal="center" vertical="center"/>
    </xf>
    <xf numFmtId="0" fontId="12" fillId="13" borderId="1" xfId="0" applyFont="1" applyFill="1" applyBorder="1"/>
    <xf numFmtId="0" fontId="11" fillId="1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49" fontId="11" fillId="11" borderId="1" xfId="0" applyNumberFormat="1" applyFont="1" applyFill="1" applyBorder="1"/>
    <xf numFmtId="0" fontId="11" fillId="11" borderId="1" xfId="0" applyFont="1" applyFill="1" applyBorder="1"/>
    <xf numFmtId="0" fontId="12" fillId="2" borderId="1" xfId="0" applyFont="1" applyFill="1" applyBorder="1" applyAlignment="1">
      <alignment wrapText="1"/>
    </xf>
    <xf numFmtId="0" fontId="12" fillId="11" borderId="1" xfId="0" applyFont="1" applyFill="1" applyBorder="1" applyAlignment="1">
      <alignment wrapText="1"/>
    </xf>
    <xf numFmtId="49" fontId="12" fillId="11" borderId="1" xfId="0" quotePrefix="1" applyNumberFormat="1" applyFont="1" applyFill="1" applyBorder="1" applyAlignment="1">
      <alignment wrapText="1"/>
    </xf>
    <xf numFmtId="0" fontId="12" fillId="13" borderId="1" xfId="0" applyFont="1" applyFill="1" applyBorder="1" applyAlignment="1">
      <alignment wrapText="1"/>
    </xf>
    <xf numFmtId="0" fontId="12" fillId="12" borderId="1" xfId="0" applyFont="1" applyFill="1" applyBorder="1" applyAlignment="1">
      <alignment horizontal="left" vertical="top" wrapText="1"/>
    </xf>
    <xf numFmtId="43" fontId="8" fillId="0" borderId="1" xfId="1" applyFont="1" applyBorder="1" applyAlignment="1">
      <alignment vertical="center" wrapText="1"/>
    </xf>
    <xf numFmtId="43" fontId="8" fillId="0" borderId="1" xfId="1" applyFont="1" applyBorder="1" applyAlignment="1">
      <alignment vertical="top" wrapText="1"/>
    </xf>
    <xf numFmtId="43" fontId="8" fillId="0" borderId="1" xfId="1" applyFont="1" applyBorder="1" applyAlignment="1">
      <alignment vertical="top"/>
    </xf>
    <xf numFmtId="43" fontId="10" fillId="7" borderId="1" xfId="1" applyFont="1" applyFill="1" applyBorder="1" applyAlignment="1">
      <alignment vertical="center" wrapText="1"/>
    </xf>
    <xf numFmtId="43" fontId="15" fillId="0" borderId="1" xfId="1" applyFont="1" applyBorder="1"/>
    <xf numFmtId="43" fontId="8" fillId="9" borderId="1" xfId="1" applyFont="1" applyFill="1" applyBorder="1"/>
    <xf numFmtId="43" fontId="7" fillId="0" borderId="1" xfId="1" applyFont="1" applyBorder="1" applyAlignment="1">
      <alignment horizontal="center"/>
    </xf>
    <xf numFmtId="43" fontId="7" fillId="6" borderId="7" xfId="1" applyFont="1" applyFill="1" applyBorder="1"/>
    <xf numFmtId="43" fontId="13" fillId="6" borderId="1" xfId="1" applyFont="1" applyFill="1" applyBorder="1"/>
    <xf numFmtId="43" fontId="10" fillId="6" borderId="4" xfId="1" applyFont="1" applyFill="1" applyBorder="1" applyAlignment="1">
      <alignment vertical="center" wrapText="1"/>
    </xf>
    <xf numFmtId="43" fontId="10" fillId="6" borderId="1" xfId="1" applyFont="1" applyFill="1" applyBorder="1" applyAlignment="1">
      <alignment vertical="center" wrapText="1"/>
    </xf>
    <xf numFmtId="43" fontId="17" fillId="7" borderId="1" xfId="1" applyFont="1" applyFill="1" applyBorder="1" applyAlignment="1">
      <alignment vertical="center" wrapText="1"/>
    </xf>
    <xf numFmtId="43" fontId="10" fillId="7" borderId="1" xfId="1" applyFont="1" applyFill="1" applyBorder="1" applyAlignment="1">
      <alignment horizontal="center"/>
    </xf>
    <xf numFmtId="43" fontId="0" fillId="0" borderId="0" xfId="1" applyFont="1"/>
    <xf numFmtId="43" fontId="7" fillId="0" borderId="5" xfId="1" applyFont="1" applyBorder="1"/>
    <xf numFmtId="43" fontId="7" fillId="6" borderId="2" xfId="1" applyFont="1" applyFill="1" applyBorder="1"/>
    <xf numFmtId="43" fontId="10" fillId="0" borderId="1" xfId="1" applyFont="1" applyFill="1" applyBorder="1" applyAlignment="1">
      <alignment vertical="center" wrapText="1"/>
    </xf>
    <xf numFmtId="43" fontId="14" fillId="0" borderId="1" xfId="1" applyFont="1" applyFill="1" applyBorder="1" applyAlignment="1">
      <alignment vertical="center" wrapText="1"/>
    </xf>
    <xf numFmtId="43" fontId="8" fillId="0" borderId="3" xfId="1" applyFont="1" applyBorder="1"/>
    <xf numFmtId="43" fontId="7" fillId="5" borderId="5" xfId="1" applyFont="1" applyFill="1" applyBorder="1"/>
    <xf numFmtId="170" fontId="0" fillId="0" borderId="0" xfId="1" applyNumberFormat="1" applyFont="1" applyBorder="1"/>
    <xf numFmtId="0" fontId="11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 wrapText="1"/>
    </xf>
    <xf numFmtId="168" fontId="7" fillId="0" borderId="1" xfId="1" applyNumberFormat="1" applyFont="1" applyBorder="1"/>
    <xf numFmtId="43" fontId="11" fillId="0" borderId="1" xfId="1" applyFont="1" applyFill="1" applyBorder="1" applyAlignment="1">
      <alignment vertical="center" wrapText="1"/>
    </xf>
    <xf numFmtId="43" fontId="15" fillId="0" borderId="1" xfId="1" applyFont="1" applyFill="1" applyBorder="1" applyAlignment="1">
      <alignment vertical="center" wrapText="1"/>
    </xf>
    <xf numFmtId="43" fontId="8" fillId="0" borderId="0" xfId="1" applyFont="1"/>
    <xf numFmtId="43" fontId="16" fillId="8" borderId="1" xfId="1" applyFont="1" applyFill="1" applyBorder="1"/>
    <xf numFmtId="10" fontId="9" fillId="8" borderId="1" xfId="1" applyNumberFormat="1" applyFont="1" applyFill="1" applyBorder="1"/>
    <xf numFmtId="0" fontId="18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2" xfId="0" applyFont="1" applyBorder="1" applyAlignment="1">
      <alignment horizontal="lef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CCCCFF"/>
      <color rgb="FFFF7C80"/>
      <color rgb="FFEAF5FC"/>
      <color rgb="FFCCFFFF"/>
      <color rgb="FFCCEEFC"/>
      <color rgb="FFFFCCCC"/>
      <color rgb="FFFFCC99"/>
      <color rgb="FFFF66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559368</xdr:colOff>
      <xdr:row>19</xdr:row>
      <xdr:rowOff>71887</xdr:rowOff>
    </xdr:from>
    <xdr:to>
      <xdr:col>24</xdr:col>
      <xdr:colOff>547462</xdr:colOff>
      <xdr:row>43</xdr:row>
      <xdr:rowOff>53690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D41047-55A0-F82B-9E15-35B7F37692D7}"/>
            </a:ext>
          </a:extLst>
        </xdr:cNvPr>
        <xdr:cNvSpPr txBox="1"/>
      </xdr:nvSpPr>
      <xdr:spPr>
        <a:xfrm>
          <a:off x="11647906" y="3270849"/>
          <a:ext cx="10986773" cy="7637747"/>
        </a:xfrm>
        <a:prstGeom prst="rect">
          <a:avLst/>
        </a:prstGeom>
        <a:solidFill>
          <a:srgbClr val="EAF5FC"/>
        </a:solidFill>
        <a:ln w="38100"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800" b="1">
              <a:latin typeface="Times New Roman" panose="02020603050405020304" pitchFamily="18" charset="0"/>
              <a:cs typeface="Times New Roman" panose="02020603050405020304" pitchFamily="18" charset="0"/>
            </a:rPr>
            <a:t>Кейс 1. Руслан </a:t>
          </a:r>
        </a:p>
        <a:p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Сейчас ноябрь 2025 года. Ваш новый клиент – Руслан, известный спортсмен, который живет в Москве. </a:t>
          </a:r>
        </a:p>
        <a:p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Руслан с детства занимался единоборствами, и после нескольких побед на международных соревнованиях по самбо и дзюдо перешел в смешанные единоборства. Он стал чемпионом в полутяжелом весе в одном из самых известных промоушенов и три раза защитил титул. Месяц назад он оставил перчатки в октагоне, завершив карьеру с рекордом 39-4. </a:t>
          </a:r>
        </a:p>
        <a:p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В обычной жизни Руслан не любит рисковать и ценит надежность. Ему 41 год, у него есть жена и трое детей школьного возраста. Он хочет, чтобы дети получили хорошее образование. У Руслана есть квартира в Москве, два дома в элитном подмосковном поселке и около 900 млн рублей, которые лежат на депозите до востребования в крупном российском банке. Руслану приятно, что он может в любой момент воспользоваться этими деньгами. В разговоре про акции и 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ETF </a:t>
          </a:r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он сказал вам, что знает про такие инструменты, но никогда их не покупал, так как не разбирается в них, и вообще считает, что «скоро все акции упадут». Также у него есть дом и около 500 тысяч долларов на банковском счете в Дубае. </a:t>
          </a:r>
        </a:p>
        <a:p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Несколько лет назад Руслан открыл бесплатную спортивную школу для детей в своем родном городе. На содержание этой школы он обычно направлял около 2 млн рублей личных средств в месяц. При необходимости финансирование можно сократить, но при бюджете менее 1 млн рублей в месяц школа не сможет продолжать работу. На личные расходы Руслан и его семья тратят примерно столько же денег, как и на содержание спортивной школы. </a:t>
          </a:r>
        </a:p>
        <a:p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Руслан еще не решил, чем будет заниматься после завершения карьеры. Ему поступали предложения поработать тренером с профессиональными спортсменами или попробовать свои силы в качестве комментатора на спортивном телеканале. Однако Руслан понимает, что даже если будет рассматривать что-то из этого как свою новую профессию, то она не будет приносить тех доходов, к которым он привык. Более того, Руслан хочет побольше времени проводить с семьей, так как раньше все свое время в режиме «</a:t>
          </a:r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day in, day out» </a:t>
          </a:r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посвящал тренировкам. </a:t>
          </a:r>
        </a:p>
        <a:p>
          <a:endParaRPr lang="ru-RU" sz="18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ru-RU" sz="1800">
              <a:latin typeface="Times New Roman" panose="02020603050405020304" pitchFamily="18" charset="0"/>
              <a:cs typeface="Times New Roman" panose="02020603050405020304" pitchFamily="18" charset="0"/>
            </a:rPr>
            <a:t>На встрече Руслан сказал вам, что если ему не будет хватать денег, он готов продать что-то из своей недвижимости – поэтому он и купил несколько домов. Но при этом он надеется, что тех денег, которые он заработал за свою карьеру, будет достаточно, чтобы обеспечить и свою семью, и спортшколу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&#1052;&#1091;&#1089;&#1083;&#1080;&#1084;/Downloads/&#1087;&#1086;&#1088;&#1090;&#1092;&#1077;&#1083;&#1100;&#1085;&#1099;&#1080;&#774;%20&#1084;&#1077;&#1085;&#1077;&#1076;&#1078;&#1084;&#1077;&#1085;&#1090;.xlsx" TargetMode="External"/><Relationship Id="rId1" Type="http://schemas.openxmlformats.org/officeDocument/2006/relationships/externalLinkPath" Target="file:///C:/Users/&#1052;&#1091;&#1089;&#1083;&#1080;&#1084;/Downloads/&#1087;&#1086;&#1088;&#1090;&#1092;&#1077;&#1083;&#1100;&#1085;&#1099;&#1080;&#774;%20&#1084;&#1077;&#1085;&#1077;&#1076;&#1078;&#1084;&#1077;&#1085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Портрет"/>
      <sheetName val="Сценарии и риски"/>
      <sheetName val="Доходность облигации"/>
      <sheetName val="Доходность акций"/>
      <sheetName val="Структура сценария"/>
      <sheetName val="Ребалансировка портфеля"/>
    </sheetNames>
    <sheetDataSet>
      <sheetData sheetId="0"/>
      <sheetData sheetId="1"/>
      <sheetData sheetId="2"/>
      <sheetData sheetId="3">
        <row r="14">
          <cell r="H14">
            <v>8.9461999999999986E-2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4157-8FFF-454A-AFAB-6F2F0786D594}">
  <sheetPr codeName="Лист1"/>
  <dimension ref="A1:G44"/>
  <sheetViews>
    <sheetView tabSelected="1" zoomScale="70" zoomScaleNormal="70" workbookViewId="0">
      <selection activeCell="K62" sqref="K62"/>
    </sheetView>
  </sheetViews>
  <sheetFormatPr defaultColWidth="8.875" defaultRowHeight="15" x14ac:dyDescent="0.2"/>
  <cols>
    <col min="1" max="1" width="30.40234375" customWidth="1"/>
    <col min="2" max="2" width="46.41015625" bestFit="1" customWidth="1"/>
    <col min="3" max="3" width="61.74609375" bestFit="1" customWidth="1"/>
  </cols>
  <sheetData>
    <row r="1" spans="1:3" ht="27" x14ac:dyDescent="0.3">
      <c r="A1" s="125" t="s">
        <v>212</v>
      </c>
      <c r="B1" s="125"/>
      <c r="C1" s="125"/>
    </row>
    <row r="2" spans="1:3" ht="27" x14ac:dyDescent="0.3">
      <c r="A2" s="125" t="s">
        <v>211</v>
      </c>
      <c r="B2" s="125"/>
      <c r="C2" s="125"/>
    </row>
    <row r="3" spans="1:3" ht="27" x14ac:dyDescent="0.3">
      <c r="A3" s="125" t="s">
        <v>203</v>
      </c>
      <c r="B3" s="125"/>
      <c r="C3" s="125"/>
    </row>
    <row r="4" spans="1:3" ht="27" x14ac:dyDescent="0.3">
      <c r="A4" s="125" t="s">
        <v>204</v>
      </c>
      <c r="B4" s="125"/>
      <c r="C4" s="125"/>
    </row>
    <row r="5" spans="1:3" ht="27" x14ac:dyDescent="0.3">
      <c r="A5" s="73" t="s">
        <v>205</v>
      </c>
      <c r="B5" s="74" t="s">
        <v>206</v>
      </c>
      <c r="C5" s="72"/>
    </row>
    <row r="6" spans="1:3" ht="27" x14ac:dyDescent="0.3">
      <c r="A6" s="74"/>
      <c r="B6" s="74" t="s">
        <v>207</v>
      </c>
      <c r="C6" s="72"/>
    </row>
    <row r="7" spans="1:3" ht="27" x14ac:dyDescent="0.3">
      <c r="A7" s="74"/>
      <c r="B7" s="74" t="s">
        <v>208</v>
      </c>
      <c r="C7" s="72"/>
    </row>
    <row r="8" spans="1:3" ht="27" x14ac:dyDescent="0.3">
      <c r="A8" s="74"/>
      <c r="B8" s="74" t="s">
        <v>209</v>
      </c>
      <c r="C8" s="72"/>
    </row>
    <row r="9" spans="1:3" ht="27" x14ac:dyDescent="0.3">
      <c r="A9" s="74"/>
      <c r="B9" s="74" t="s">
        <v>210</v>
      </c>
      <c r="C9" s="72"/>
    </row>
    <row r="12" spans="1:3" ht="21" x14ac:dyDescent="0.2">
      <c r="A12" s="126" t="s">
        <v>0</v>
      </c>
      <c r="B12" s="126"/>
      <c r="C12" s="126"/>
    </row>
    <row r="13" spans="1:3" ht="18.75" x14ac:dyDescent="0.25">
      <c r="A13" s="4" t="s">
        <v>1</v>
      </c>
      <c r="B13" s="5" t="s">
        <v>2</v>
      </c>
      <c r="C13" s="6" t="s">
        <v>3</v>
      </c>
    </row>
    <row r="14" spans="1:3" ht="21" x14ac:dyDescent="0.25">
      <c r="A14" s="4" t="s">
        <v>4</v>
      </c>
      <c r="B14" s="5" t="s">
        <v>5</v>
      </c>
      <c r="C14" s="6"/>
    </row>
    <row r="15" spans="1:3" ht="18.75" x14ac:dyDescent="0.25">
      <c r="A15" s="4" t="s">
        <v>6</v>
      </c>
      <c r="B15" s="7" t="s">
        <v>7</v>
      </c>
      <c r="C15" s="8" t="s">
        <v>8</v>
      </c>
    </row>
    <row r="16" spans="1:3" ht="18.75" x14ac:dyDescent="0.25">
      <c r="A16" s="4" t="s">
        <v>9</v>
      </c>
      <c r="B16" s="9" t="s">
        <v>10</v>
      </c>
      <c r="C16" s="6" t="s">
        <v>11</v>
      </c>
    </row>
    <row r="17" spans="1:7" ht="21" x14ac:dyDescent="0.2">
      <c r="A17" s="10"/>
      <c r="B17" s="10"/>
      <c r="C17" s="10"/>
    </row>
    <row r="18" spans="1:7" ht="21" x14ac:dyDescent="0.2">
      <c r="A18" s="127" t="s">
        <v>12</v>
      </c>
      <c r="B18" s="128"/>
      <c r="C18" s="11"/>
    </row>
    <row r="19" spans="1:7" ht="21" x14ac:dyDescent="0.25">
      <c r="A19" s="4" t="s">
        <v>13</v>
      </c>
      <c r="B19" s="9" t="s">
        <v>14</v>
      </c>
      <c r="C19" s="12"/>
    </row>
    <row r="20" spans="1:7" ht="21" x14ac:dyDescent="0.25">
      <c r="A20" s="4" t="s">
        <v>15</v>
      </c>
      <c r="B20" s="9" t="s">
        <v>16</v>
      </c>
      <c r="C20" s="12"/>
      <c r="G20" s="3"/>
    </row>
    <row r="21" spans="1:7" ht="21" x14ac:dyDescent="0.2">
      <c r="A21" s="10"/>
      <c r="B21" s="10"/>
      <c r="C21" s="10"/>
    </row>
    <row r="22" spans="1:7" ht="21" x14ac:dyDescent="0.2">
      <c r="A22" s="127" t="s">
        <v>17</v>
      </c>
      <c r="B22" s="129"/>
      <c r="C22" s="128"/>
    </row>
    <row r="23" spans="1:7" ht="21" x14ac:dyDescent="0.25">
      <c r="A23" s="4" t="s">
        <v>18</v>
      </c>
      <c r="B23" s="9" t="s">
        <v>19</v>
      </c>
      <c r="C23" s="6" t="s">
        <v>20</v>
      </c>
    </row>
    <row r="24" spans="1:7" ht="21" x14ac:dyDescent="0.25">
      <c r="A24" s="4" t="s">
        <v>21</v>
      </c>
      <c r="B24" s="9" t="s">
        <v>22</v>
      </c>
      <c r="C24" s="6" t="s">
        <v>23</v>
      </c>
    </row>
    <row r="25" spans="1:7" ht="18.75" x14ac:dyDescent="0.25">
      <c r="A25" s="4" t="s">
        <v>24</v>
      </c>
      <c r="B25" s="9" t="s">
        <v>25</v>
      </c>
      <c r="C25" s="6" t="s">
        <v>26</v>
      </c>
    </row>
    <row r="26" spans="1:7" ht="36" x14ac:dyDescent="0.25">
      <c r="A26" s="4" t="s">
        <v>27</v>
      </c>
      <c r="B26" s="9">
        <f>42500000+331400000+48000000</f>
        <v>421900000</v>
      </c>
      <c r="C26" s="6" t="s">
        <v>28</v>
      </c>
    </row>
    <row r="27" spans="1:7" ht="21" x14ac:dyDescent="0.2">
      <c r="A27" s="69"/>
      <c r="B27" s="70"/>
      <c r="C27" s="71"/>
    </row>
    <row r="28" spans="1:7" ht="36" x14ac:dyDescent="0.25">
      <c r="A28" s="4" t="s">
        <v>29</v>
      </c>
      <c r="B28" s="9" t="s">
        <v>30</v>
      </c>
      <c r="C28" s="6" t="s">
        <v>31</v>
      </c>
    </row>
    <row r="29" spans="1:7" ht="36" x14ac:dyDescent="0.25">
      <c r="A29" s="4" t="s">
        <v>32</v>
      </c>
      <c r="B29" s="9" t="s">
        <v>33</v>
      </c>
      <c r="C29" s="6" t="s">
        <v>34</v>
      </c>
    </row>
    <row r="30" spans="1:7" ht="36" x14ac:dyDescent="0.25">
      <c r="A30" s="4" t="s">
        <v>35</v>
      </c>
      <c r="B30" s="9">
        <f>900000000+38000000+B26</f>
        <v>1359900000</v>
      </c>
      <c r="C30" s="6" t="s">
        <v>36</v>
      </c>
    </row>
    <row r="31" spans="1:7" ht="21" x14ac:dyDescent="0.2">
      <c r="A31" s="10"/>
      <c r="B31" s="10"/>
      <c r="C31" s="10"/>
    </row>
    <row r="32" spans="1:7" ht="21" x14ac:dyDescent="0.2">
      <c r="A32" s="127" t="s">
        <v>37</v>
      </c>
      <c r="B32" s="129"/>
      <c r="C32" s="128"/>
    </row>
    <row r="33" spans="1:3" ht="18.75" x14ac:dyDescent="0.25">
      <c r="A33" s="4" t="s">
        <v>38</v>
      </c>
      <c r="B33" s="9" t="s">
        <v>39</v>
      </c>
      <c r="C33" s="6" t="s">
        <v>40</v>
      </c>
    </row>
    <row r="34" spans="1:3" ht="21" x14ac:dyDescent="0.25">
      <c r="A34" s="4" t="s">
        <v>41</v>
      </c>
      <c r="B34" s="9" t="s">
        <v>42</v>
      </c>
      <c r="C34" s="6" t="s">
        <v>41</v>
      </c>
    </row>
    <row r="35" spans="1:3" ht="36" x14ac:dyDescent="0.25">
      <c r="A35" s="4" t="s">
        <v>43</v>
      </c>
      <c r="B35" s="9" t="s">
        <v>44</v>
      </c>
      <c r="C35" s="6" t="s">
        <v>45</v>
      </c>
    </row>
    <row r="36" spans="1:3" ht="21" x14ac:dyDescent="0.2">
      <c r="A36" s="10"/>
      <c r="B36" s="10"/>
      <c r="C36" s="10"/>
    </row>
    <row r="37" spans="1:3" ht="21" x14ac:dyDescent="0.2">
      <c r="A37" s="127" t="s">
        <v>46</v>
      </c>
      <c r="B37" s="129"/>
      <c r="C37" s="128"/>
    </row>
    <row r="38" spans="1:3" ht="18.75" x14ac:dyDescent="0.25">
      <c r="A38" s="4" t="s">
        <v>47</v>
      </c>
      <c r="B38" s="9" t="s">
        <v>48</v>
      </c>
      <c r="C38" s="6" t="s">
        <v>49</v>
      </c>
    </row>
    <row r="39" spans="1:3" ht="18.75" x14ac:dyDescent="0.25">
      <c r="A39" s="4" t="s">
        <v>50</v>
      </c>
      <c r="B39" s="9" t="s">
        <v>51</v>
      </c>
      <c r="C39" s="6" t="s">
        <v>52</v>
      </c>
    </row>
    <row r="40" spans="1:3" ht="18.75" x14ac:dyDescent="0.25">
      <c r="A40" s="4" t="s">
        <v>53</v>
      </c>
      <c r="B40" s="9" t="s">
        <v>54</v>
      </c>
      <c r="C40" s="6" t="s">
        <v>55</v>
      </c>
    </row>
    <row r="41" spans="1:3" ht="21" x14ac:dyDescent="0.2">
      <c r="A41" s="10"/>
      <c r="B41" s="10"/>
      <c r="C41" s="10"/>
    </row>
    <row r="42" spans="1:3" ht="21" x14ac:dyDescent="0.2">
      <c r="A42" s="10"/>
      <c r="B42" s="10"/>
      <c r="C42" s="10"/>
    </row>
    <row r="43" spans="1:3" ht="21" x14ac:dyDescent="0.2">
      <c r="A43" s="127" t="s">
        <v>56</v>
      </c>
      <c r="B43" s="129"/>
      <c r="C43" s="128"/>
    </row>
    <row r="44" spans="1:3" ht="18.75" x14ac:dyDescent="0.25">
      <c r="A44" s="4" t="s">
        <v>57</v>
      </c>
      <c r="B44" s="9" t="s">
        <v>248</v>
      </c>
      <c r="C44" s="6" t="s">
        <v>249</v>
      </c>
    </row>
  </sheetData>
  <mergeCells count="10">
    <mergeCell ref="A18:B18"/>
    <mergeCell ref="A22:C22"/>
    <mergeCell ref="A32:C32"/>
    <mergeCell ref="A37:C37"/>
    <mergeCell ref="A43:C43"/>
    <mergeCell ref="A1:C1"/>
    <mergeCell ref="A3:C3"/>
    <mergeCell ref="A4:C4"/>
    <mergeCell ref="A2:C2"/>
    <mergeCell ref="A12:C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9226-35FC-4FED-A23A-4E51534F5A8B}">
  <sheetPr codeName="Лист2"/>
  <dimension ref="A1:N16"/>
  <sheetViews>
    <sheetView workbookViewId="0">
      <selection activeCell="F26" sqref="F26"/>
    </sheetView>
  </sheetViews>
  <sheetFormatPr defaultColWidth="8.875" defaultRowHeight="15" x14ac:dyDescent="0.2"/>
  <cols>
    <col min="1" max="1" width="23.26953125" customWidth="1"/>
    <col min="2" max="2" width="15.73828125" customWidth="1"/>
    <col min="3" max="3" width="16.140625" customWidth="1"/>
    <col min="4" max="4" width="14.2578125" customWidth="1"/>
    <col min="5" max="5" width="11.97265625" customWidth="1"/>
    <col min="6" max="6" width="17.75390625" customWidth="1"/>
    <col min="7" max="7" width="13.98828125" customWidth="1"/>
    <col min="8" max="8" width="20.17578125" customWidth="1"/>
    <col min="9" max="9" width="16.140625" customWidth="1"/>
    <col min="10" max="10" width="16.94921875" customWidth="1"/>
  </cols>
  <sheetData>
    <row r="1" spans="1:14" x14ac:dyDescent="0.2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  <c r="G1" s="15" t="s">
        <v>111</v>
      </c>
      <c r="H1" s="15" t="s">
        <v>112</v>
      </c>
      <c r="I1" s="15" t="s">
        <v>113</v>
      </c>
      <c r="J1" s="15" t="s">
        <v>114</v>
      </c>
      <c r="K1" s="16"/>
      <c r="L1" s="16"/>
      <c r="M1" s="16"/>
      <c r="N1" s="16"/>
    </row>
    <row r="2" spans="1:14" x14ac:dyDescent="0.2">
      <c r="A2" s="17" t="s">
        <v>115</v>
      </c>
      <c r="B2" s="18" t="s">
        <v>116</v>
      </c>
      <c r="C2" s="19">
        <v>1.65</v>
      </c>
      <c r="D2" s="20">
        <v>7.4999999999999997E-2</v>
      </c>
      <c r="E2" s="19">
        <v>14</v>
      </c>
      <c r="F2" s="19">
        <f t="shared" ref="F2:F11" si="0">C2+E2</f>
        <v>15.65</v>
      </c>
      <c r="G2" s="19">
        <v>8</v>
      </c>
      <c r="H2" s="19">
        <f t="shared" ref="H2:H11" si="1">G2+C2</f>
        <v>9.65</v>
      </c>
      <c r="I2" s="19">
        <v>9</v>
      </c>
      <c r="J2" s="19">
        <f t="shared" ref="J2:J11" si="2">I2+C2</f>
        <v>10.65</v>
      </c>
      <c r="K2" s="16"/>
      <c r="L2" s="16"/>
      <c r="M2" s="16"/>
      <c r="N2" s="16"/>
    </row>
    <row r="3" spans="1:14" x14ac:dyDescent="0.2">
      <c r="A3" s="17" t="s">
        <v>117</v>
      </c>
      <c r="B3" s="18" t="s">
        <v>118</v>
      </c>
      <c r="C3" s="19">
        <v>1.7</v>
      </c>
      <c r="D3" s="20">
        <v>7.4999999999999997E-2</v>
      </c>
      <c r="E3" s="19">
        <v>14</v>
      </c>
      <c r="F3" s="19">
        <f t="shared" si="0"/>
        <v>15.7</v>
      </c>
      <c r="G3" s="19">
        <v>8</v>
      </c>
      <c r="H3" s="19">
        <f t="shared" si="1"/>
        <v>9.6999999999999993</v>
      </c>
      <c r="I3" s="19">
        <v>9</v>
      </c>
      <c r="J3" s="19">
        <f t="shared" si="2"/>
        <v>10.7</v>
      </c>
      <c r="K3" s="16"/>
      <c r="L3" s="16"/>
      <c r="M3" s="16"/>
      <c r="N3" s="16"/>
    </row>
    <row r="4" spans="1:14" x14ac:dyDescent="0.2">
      <c r="A4" s="17" t="s">
        <v>119</v>
      </c>
      <c r="B4" s="18" t="s">
        <v>120</v>
      </c>
      <c r="C4" s="19">
        <v>1.65</v>
      </c>
      <c r="D4" s="20">
        <v>7.4999999999999997E-2</v>
      </c>
      <c r="E4" s="19">
        <v>14</v>
      </c>
      <c r="F4" s="19">
        <f t="shared" si="0"/>
        <v>15.65</v>
      </c>
      <c r="G4" s="19">
        <v>8</v>
      </c>
      <c r="H4" s="19">
        <f t="shared" si="1"/>
        <v>9.65</v>
      </c>
      <c r="I4" s="19">
        <v>9</v>
      </c>
      <c r="J4" s="19">
        <f t="shared" si="2"/>
        <v>10.65</v>
      </c>
      <c r="K4" s="16"/>
      <c r="L4" s="16"/>
      <c r="M4" s="16"/>
      <c r="N4" s="16"/>
    </row>
    <row r="5" spans="1:14" x14ac:dyDescent="0.2">
      <c r="A5" s="17" t="s">
        <v>121</v>
      </c>
      <c r="B5" s="18" t="s">
        <v>122</v>
      </c>
      <c r="C5" s="19">
        <v>1.55</v>
      </c>
      <c r="D5" s="20">
        <v>7.4999999999999997E-2</v>
      </c>
      <c r="E5" s="19">
        <v>14</v>
      </c>
      <c r="F5" s="19">
        <f t="shared" si="0"/>
        <v>15.55</v>
      </c>
      <c r="G5" s="19">
        <v>8</v>
      </c>
      <c r="H5" s="19">
        <f t="shared" si="1"/>
        <v>9.5500000000000007</v>
      </c>
      <c r="I5" s="19">
        <v>9</v>
      </c>
      <c r="J5" s="19">
        <f t="shared" si="2"/>
        <v>10.55</v>
      </c>
      <c r="K5" s="16"/>
      <c r="L5" s="16"/>
      <c r="M5" s="16"/>
      <c r="N5" s="16"/>
    </row>
    <row r="6" spans="1:14" x14ac:dyDescent="0.2">
      <c r="A6" s="17" t="s">
        <v>123</v>
      </c>
      <c r="B6" s="18" t="s">
        <v>124</v>
      </c>
      <c r="C6" s="19">
        <v>1.05</v>
      </c>
      <c r="D6" s="20">
        <v>7.4999999999999997E-2</v>
      </c>
      <c r="E6" s="19">
        <v>14</v>
      </c>
      <c r="F6" s="19">
        <f t="shared" si="0"/>
        <v>15.05</v>
      </c>
      <c r="G6" s="19">
        <v>8</v>
      </c>
      <c r="H6" s="19">
        <f t="shared" si="1"/>
        <v>9.0500000000000007</v>
      </c>
      <c r="I6" s="19">
        <v>9</v>
      </c>
      <c r="J6" s="19">
        <f t="shared" si="2"/>
        <v>10.050000000000001</v>
      </c>
      <c r="K6" s="16"/>
      <c r="L6" s="16"/>
      <c r="M6" s="16"/>
      <c r="N6" s="16"/>
    </row>
    <row r="7" spans="1:14" x14ac:dyDescent="0.2">
      <c r="A7" s="17" t="s">
        <v>125</v>
      </c>
      <c r="B7" s="18" t="s">
        <v>126</v>
      </c>
      <c r="C7" s="19">
        <v>1.35</v>
      </c>
      <c r="D7" s="20">
        <v>7.4999999999999997E-2</v>
      </c>
      <c r="E7" s="19">
        <v>14</v>
      </c>
      <c r="F7" s="19">
        <f t="shared" si="0"/>
        <v>15.35</v>
      </c>
      <c r="G7" s="19">
        <v>8</v>
      </c>
      <c r="H7" s="19">
        <f t="shared" si="1"/>
        <v>9.35</v>
      </c>
      <c r="I7" s="19">
        <v>9</v>
      </c>
      <c r="J7" s="19">
        <f t="shared" si="2"/>
        <v>10.35</v>
      </c>
      <c r="K7" s="16"/>
      <c r="L7" s="16"/>
      <c r="M7" s="16"/>
      <c r="N7" s="16"/>
    </row>
    <row r="8" spans="1:14" ht="25.5" x14ac:dyDescent="0.2">
      <c r="A8" s="17" t="s">
        <v>127</v>
      </c>
      <c r="B8" s="18" t="s">
        <v>128</v>
      </c>
      <c r="C8" s="19">
        <v>1.3</v>
      </c>
      <c r="D8" s="20">
        <v>7.4999999999999997E-2</v>
      </c>
      <c r="E8" s="19">
        <v>14</v>
      </c>
      <c r="F8" s="19">
        <f t="shared" si="0"/>
        <v>15.3</v>
      </c>
      <c r="G8" s="19">
        <v>8</v>
      </c>
      <c r="H8" s="19">
        <f t="shared" si="1"/>
        <v>9.3000000000000007</v>
      </c>
      <c r="I8" s="19">
        <v>9</v>
      </c>
      <c r="J8" s="19">
        <f t="shared" si="2"/>
        <v>10.3</v>
      </c>
      <c r="K8" s="16"/>
      <c r="L8" s="16"/>
      <c r="M8" s="16"/>
      <c r="N8" s="16"/>
    </row>
    <row r="9" spans="1:14" x14ac:dyDescent="0.2">
      <c r="A9" s="17" t="s">
        <v>129</v>
      </c>
      <c r="B9" s="18" t="s">
        <v>130</v>
      </c>
      <c r="C9" s="19">
        <v>2</v>
      </c>
      <c r="D9" s="20">
        <v>7.4999999999999997E-2</v>
      </c>
      <c r="E9" s="19">
        <v>14</v>
      </c>
      <c r="F9" s="19">
        <f t="shared" si="0"/>
        <v>16</v>
      </c>
      <c r="G9" s="19">
        <v>8</v>
      </c>
      <c r="H9" s="19">
        <f t="shared" si="1"/>
        <v>10</v>
      </c>
      <c r="I9" s="19">
        <v>9</v>
      </c>
      <c r="J9" s="19">
        <f t="shared" si="2"/>
        <v>11</v>
      </c>
      <c r="K9" s="16"/>
      <c r="L9" s="16"/>
      <c r="M9" s="16"/>
      <c r="N9" s="16"/>
    </row>
    <row r="10" spans="1:14" x14ac:dyDescent="0.2">
      <c r="A10" s="17" t="s">
        <v>131</v>
      </c>
      <c r="B10" s="18" t="s">
        <v>132</v>
      </c>
      <c r="C10" s="19">
        <v>2</v>
      </c>
      <c r="D10" s="20">
        <v>7.4999999999999997E-2</v>
      </c>
      <c r="E10" s="19">
        <v>14</v>
      </c>
      <c r="F10" s="19">
        <f t="shared" si="0"/>
        <v>16</v>
      </c>
      <c r="G10" s="19">
        <v>8</v>
      </c>
      <c r="H10" s="19">
        <f t="shared" si="1"/>
        <v>10</v>
      </c>
      <c r="I10" s="19">
        <v>9</v>
      </c>
      <c r="J10" s="19">
        <f t="shared" si="2"/>
        <v>11</v>
      </c>
      <c r="K10" s="16"/>
      <c r="L10" s="16"/>
      <c r="M10" s="16"/>
      <c r="N10" s="16"/>
    </row>
    <row r="11" spans="1:14" x14ac:dyDescent="0.2">
      <c r="A11" s="17" t="s">
        <v>133</v>
      </c>
      <c r="B11" s="18" t="s">
        <v>134</v>
      </c>
      <c r="C11" s="19">
        <v>2</v>
      </c>
      <c r="D11" s="20">
        <v>7.4999999999999997E-2</v>
      </c>
      <c r="E11" s="19">
        <v>14</v>
      </c>
      <c r="F11" s="19">
        <f t="shared" si="0"/>
        <v>16</v>
      </c>
      <c r="G11" s="19">
        <v>8</v>
      </c>
      <c r="H11" s="19">
        <f t="shared" si="1"/>
        <v>10</v>
      </c>
      <c r="I11" s="19">
        <v>9</v>
      </c>
      <c r="J11" s="19">
        <f t="shared" si="2"/>
        <v>11</v>
      </c>
      <c r="K11" s="16"/>
      <c r="L11" s="16"/>
      <c r="M11" s="16"/>
      <c r="N11" s="16"/>
    </row>
    <row r="12" spans="1:14" x14ac:dyDescent="0.2">
      <c r="A12" s="21" t="s">
        <v>135</v>
      </c>
      <c r="B12" s="19" t="s">
        <v>136</v>
      </c>
      <c r="C12" s="19">
        <v>8.98</v>
      </c>
      <c r="D12" s="22">
        <v>0.25</v>
      </c>
      <c r="E12" s="19"/>
      <c r="F12" s="19">
        <f>((1+0.0898)*(1+0.05)-1)*100</f>
        <v>14.429000000000025</v>
      </c>
      <c r="G12" s="19"/>
      <c r="H12" s="19">
        <f>F12</f>
        <v>14.429000000000025</v>
      </c>
      <c r="I12" s="19"/>
      <c r="J12" s="19">
        <f>H12</f>
        <v>14.429000000000025</v>
      </c>
      <c r="K12" s="16"/>
      <c r="L12" s="16"/>
      <c r="M12" s="16"/>
      <c r="N12" s="16"/>
    </row>
    <row r="13" spans="1:14" x14ac:dyDescent="0.2">
      <c r="A13" s="19" t="s">
        <v>137</v>
      </c>
      <c r="B13" s="19"/>
      <c r="C13" s="19"/>
      <c r="D13" s="20">
        <f>SUM(D2:D12)</f>
        <v>0.99999999999999989</v>
      </c>
      <c r="E13" s="19"/>
      <c r="F13" s="19">
        <f>SUMPRODUCT(D2:D12,F2:F12)</f>
        <v>15.326000000000004</v>
      </c>
      <c r="G13" s="19"/>
      <c r="H13" s="19">
        <f>SUMPRODUCT(D2:D12,H2:H12)</f>
        <v>10.826000000000006</v>
      </c>
      <c r="I13" s="19"/>
      <c r="J13" s="19">
        <f>SUMPRODUCT(D2:D12,J2:J12)</f>
        <v>11.576000000000008</v>
      </c>
      <c r="K13" s="16"/>
      <c r="L13" s="16"/>
      <c r="M13" s="16"/>
      <c r="N13" s="16"/>
    </row>
    <row r="14" spans="1:14" x14ac:dyDescent="0.2">
      <c r="A14" s="19" t="s">
        <v>138</v>
      </c>
      <c r="B14" s="19"/>
      <c r="C14" s="19"/>
      <c r="D14" s="19"/>
      <c r="E14" s="19"/>
      <c r="F14" s="23">
        <f>F13/100</f>
        <v>0.15326000000000004</v>
      </c>
      <c r="G14" s="19"/>
      <c r="H14" s="23">
        <f>H13/100</f>
        <v>0.10826000000000006</v>
      </c>
      <c r="I14" s="19"/>
      <c r="J14" s="23">
        <f>J13/100</f>
        <v>0.11576000000000007</v>
      </c>
      <c r="K14" s="16"/>
      <c r="L14" s="24"/>
      <c r="M14" s="16"/>
      <c r="N14" s="16"/>
    </row>
    <row r="15" spans="1:14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25"/>
      <c r="N15" s="16"/>
    </row>
    <row r="16" spans="1:14" ht="25.5" x14ac:dyDescent="0.2">
      <c r="A16" s="26" t="s">
        <v>139</v>
      </c>
      <c r="B16" s="22">
        <v>0.05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A5E0-863F-4EF1-9E14-F1885033F083}">
  <sheetPr codeName="Лист4"/>
  <dimension ref="A1:H25"/>
  <sheetViews>
    <sheetView topLeftCell="F1" workbookViewId="0">
      <selection activeCell="G4" sqref="G4"/>
    </sheetView>
  </sheetViews>
  <sheetFormatPr defaultColWidth="15.73828125" defaultRowHeight="15" x14ac:dyDescent="0.2"/>
  <cols>
    <col min="1" max="1" width="24.75" customWidth="1"/>
    <col min="2" max="2" width="20.71484375" customWidth="1"/>
    <col min="3" max="3" width="29.19140625" customWidth="1"/>
    <col min="4" max="4" width="19.1015625" customWidth="1"/>
    <col min="5" max="5" width="20.71484375" customWidth="1"/>
    <col min="6" max="6" width="12.64453125" customWidth="1"/>
    <col min="7" max="7" width="19.1015625" customWidth="1"/>
    <col min="8" max="8" width="27.171875" customWidth="1"/>
  </cols>
  <sheetData>
    <row r="1" spans="1:8" x14ac:dyDescent="0.2">
      <c r="A1" s="130" t="s">
        <v>140</v>
      </c>
      <c r="B1" s="130"/>
      <c r="C1" s="130"/>
      <c r="D1" s="130"/>
      <c r="E1" s="27"/>
      <c r="F1" s="27"/>
      <c r="G1" s="27"/>
      <c r="H1" s="27"/>
    </row>
    <row r="2" spans="1:8" x14ac:dyDescent="0.2">
      <c r="A2" s="27"/>
      <c r="B2" s="27"/>
      <c r="C2" s="27"/>
      <c r="D2" s="27"/>
      <c r="E2" s="27">
        <v>0.6</v>
      </c>
      <c r="F2" s="27"/>
      <c r="G2" s="27"/>
      <c r="H2" s="27"/>
    </row>
    <row r="3" spans="1:8" ht="41.25" x14ac:dyDescent="0.2">
      <c r="A3" s="28" t="s">
        <v>141</v>
      </c>
      <c r="B3" s="28" t="s">
        <v>106</v>
      </c>
      <c r="C3" s="28" t="s">
        <v>142</v>
      </c>
      <c r="D3" s="29" t="s">
        <v>143</v>
      </c>
      <c r="E3" s="29" t="s">
        <v>144</v>
      </c>
      <c r="F3" s="29" t="s">
        <v>145</v>
      </c>
      <c r="G3" s="29" t="s">
        <v>146</v>
      </c>
      <c r="H3" s="29" t="s">
        <v>147</v>
      </c>
    </row>
    <row r="4" spans="1:8" ht="15" customHeight="1" x14ac:dyDescent="0.2">
      <c r="A4" s="30" t="s">
        <v>148</v>
      </c>
      <c r="B4" s="30" t="s">
        <v>149</v>
      </c>
      <c r="C4" s="30" t="s">
        <v>150</v>
      </c>
      <c r="D4" s="31">
        <v>0.19350000000000001</v>
      </c>
      <c r="E4" s="30">
        <f>D4*$E$2</f>
        <v>0.11609999999999999</v>
      </c>
      <c r="F4" s="32">
        <v>0.67647221490756404</v>
      </c>
      <c r="G4" s="33">
        <f>$B$16+$B$17*F4</f>
        <v>0.2326472214907564</v>
      </c>
      <c r="H4" s="34">
        <v>9.3700000000000006E-2</v>
      </c>
    </row>
    <row r="5" spans="1:8" ht="15" customHeight="1" x14ac:dyDescent="0.2">
      <c r="A5" s="30" t="s">
        <v>151</v>
      </c>
      <c r="B5" s="30" t="s">
        <v>152</v>
      </c>
      <c r="C5" s="30" t="s">
        <v>153</v>
      </c>
      <c r="D5" s="31">
        <v>0.13980000000000001</v>
      </c>
      <c r="E5" s="30">
        <f t="shared" ref="E5:E13" si="0">D5*$E$2</f>
        <v>8.3879999999999996E-2</v>
      </c>
      <c r="F5" s="32">
        <v>0.73683890752562997</v>
      </c>
      <c r="G5" s="33">
        <f t="shared" ref="G5:G13" si="1">$B$16+$B$17*F5</f>
        <v>0.23868389075256302</v>
      </c>
      <c r="H5" s="34">
        <v>0.10716666666666667</v>
      </c>
    </row>
    <row r="6" spans="1:8" ht="15" customHeight="1" x14ac:dyDescent="0.2">
      <c r="A6" s="30" t="s">
        <v>154</v>
      </c>
      <c r="B6" s="30" t="s">
        <v>155</v>
      </c>
      <c r="C6" s="30" t="s">
        <v>150</v>
      </c>
      <c r="D6" s="31">
        <v>0.1183</v>
      </c>
      <c r="E6" s="30">
        <f t="shared" si="0"/>
        <v>7.0980000000000001E-2</v>
      </c>
      <c r="F6" s="32">
        <v>0.46361449884282302</v>
      </c>
      <c r="G6" s="33">
        <f t="shared" si="1"/>
        <v>0.21136144988428232</v>
      </c>
      <c r="H6" s="34">
        <v>5.9666666666666666E-2</v>
      </c>
    </row>
    <row r="7" spans="1:8" ht="15" customHeight="1" x14ac:dyDescent="0.2">
      <c r="A7" s="30" t="s">
        <v>156</v>
      </c>
      <c r="B7" s="30" t="s">
        <v>157</v>
      </c>
      <c r="C7" s="30" t="s">
        <v>158</v>
      </c>
      <c r="D7" s="31">
        <v>8.5999999999999993E-2</v>
      </c>
      <c r="E7" s="30">
        <f t="shared" si="0"/>
        <v>5.1599999999999993E-2</v>
      </c>
      <c r="F7" s="32">
        <v>0.17452107074619799</v>
      </c>
      <c r="G7" s="33">
        <f>$B$16+$B$17*F7</f>
        <v>0.18245210707461981</v>
      </c>
      <c r="H7" s="34">
        <v>0.11073333333333332</v>
      </c>
    </row>
    <row r="8" spans="1:8" ht="15" customHeight="1" x14ac:dyDescent="0.2">
      <c r="A8" s="30" t="s">
        <v>159</v>
      </c>
      <c r="B8" s="30" t="s">
        <v>160</v>
      </c>
      <c r="C8" s="30" t="s">
        <v>161</v>
      </c>
      <c r="D8" s="31">
        <v>9.6799999999999997E-2</v>
      </c>
      <c r="E8" s="30">
        <f t="shared" si="0"/>
        <v>5.8079999999999993E-2</v>
      </c>
      <c r="F8" s="32">
        <v>0.282660537580121</v>
      </c>
      <c r="G8" s="33">
        <f>$B$16+$B$17*F8</f>
        <v>0.19326605375801212</v>
      </c>
      <c r="H8" s="34">
        <v>5.8620000000000005E-2</v>
      </c>
    </row>
    <row r="9" spans="1:8" ht="15" customHeight="1" x14ac:dyDescent="0.2">
      <c r="A9" s="30" t="s">
        <v>162</v>
      </c>
      <c r="B9" s="30" t="s">
        <v>163</v>
      </c>
      <c r="C9" s="30" t="s">
        <v>153</v>
      </c>
      <c r="D9" s="31">
        <v>7.5300000000000006E-2</v>
      </c>
      <c r="E9" s="30">
        <f t="shared" si="0"/>
        <v>4.5180000000000005E-2</v>
      </c>
      <c r="F9" s="32">
        <v>0.49537034763467602</v>
      </c>
      <c r="G9" s="33">
        <f t="shared" si="1"/>
        <v>0.21453703476346761</v>
      </c>
      <c r="H9" s="34">
        <v>7.9666666666666663E-2</v>
      </c>
    </row>
    <row r="10" spans="1:8" ht="15" customHeight="1" x14ac:dyDescent="0.2">
      <c r="A10" s="30" t="s">
        <v>164</v>
      </c>
      <c r="B10" s="30" t="s">
        <v>165</v>
      </c>
      <c r="C10" s="30" t="s">
        <v>153</v>
      </c>
      <c r="D10" s="31">
        <v>9.6799999999999997E-2</v>
      </c>
      <c r="E10" s="30">
        <f t="shared" si="0"/>
        <v>5.8079999999999993E-2</v>
      </c>
      <c r="F10" s="32">
        <v>0.216276203403406</v>
      </c>
      <c r="G10" s="33">
        <f t="shared" si="1"/>
        <v>0.18662762034034061</v>
      </c>
      <c r="H10" s="34">
        <v>0.13354999999999997</v>
      </c>
    </row>
    <row r="11" spans="1:8" ht="15" customHeight="1" x14ac:dyDescent="0.2">
      <c r="A11" s="30" t="s">
        <v>166</v>
      </c>
      <c r="B11" s="30" t="s">
        <v>167</v>
      </c>
      <c r="C11" s="30" t="s">
        <v>168</v>
      </c>
      <c r="D11" s="31">
        <v>6.4500000000000002E-2</v>
      </c>
      <c r="E11" s="35">
        <f t="shared" si="0"/>
        <v>3.8699999999999998E-2</v>
      </c>
      <c r="F11" s="32">
        <v>0.568883190935913</v>
      </c>
      <c r="G11" s="36">
        <f t="shared" si="1"/>
        <v>0.2218883190935913</v>
      </c>
      <c r="H11" s="34">
        <v>0.12433333333333332</v>
      </c>
    </row>
    <row r="12" spans="1:8" ht="15" customHeight="1" x14ac:dyDescent="0.2">
      <c r="A12" s="30" t="s">
        <v>169</v>
      </c>
      <c r="B12" s="30" t="s">
        <v>170</v>
      </c>
      <c r="C12" s="30" t="s">
        <v>153</v>
      </c>
      <c r="D12" s="31">
        <v>7.5300000000000006E-2</v>
      </c>
      <c r="E12" s="35">
        <f t="shared" si="0"/>
        <v>4.5180000000000005E-2</v>
      </c>
      <c r="F12" s="32">
        <v>0.99924399482387605</v>
      </c>
      <c r="G12" s="36">
        <f t="shared" si="1"/>
        <v>0.26492439948238761</v>
      </c>
      <c r="H12" s="34">
        <v>9.8633333333333337E-2</v>
      </c>
    </row>
    <row r="13" spans="1:8" ht="15" customHeight="1" x14ac:dyDescent="0.2">
      <c r="A13" s="30" t="s">
        <v>171</v>
      </c>
      <c r="B13" s="30" t="s">
        <v>172</v>
      </c>
      <c r="C13" s="30" t="s">
        <v>173</v>
      </c>
      <c r="D13" s="31">
        <v>5.3699999999999998E-2</v>
      </c>
      <c r="E13" s="35">
        <f t="shared" si="0"/>
        <v>3.2219999999999999E-2</v>
      </c>
      <c r="F13" s="32">
        <v>0.57139787922396601</v>
      </c>
      <c r="G13" s="36">
        <f t="shared" si="1"/>
        <v>0.22213978792239661</v>
      </c>
      <c r="H13" s="34">
        <v>2.8549999999999999E-2</v>
      </c>
    </row>
    <row r="14" spans="1:8" x14ac:dyDescent="0.2">
      <c r="A14" s="27"/>
      <c r="B14" s="27"/>
      <c r="C14" s="27"/>
      <c r="D14" s="37">
        <f>SUM(D4:D13)</f>
        <v>1.0000000000000002</v>
      </c>
      <c r="E14" s="38">
        <f>SUM(E4:E13)</f>
        <v>0.6</v>
      </c>
      <c r="F14" s="27"/>
      <c r="G14" s="27"/>
      <c r="H14" s="39">
        <f>AVERAGE(H4:H13)</f>
        <v>8.9461999999999986E-2</v>
      </c>
    </row>
    <row r="15" spans="1:8" x14ac:dyDescent="0.2">
      <c r="A15" s="27"/>
      <c r="B15" s="27"/>
      <c r="C15" s="27"/>
      <c r="D15" s="27"/>
      <c r="E15" s="27"/>
      <c r="F15" s="27"/>
      <c r="G15" s="27"/>
      <c r="H15" s="27"/>
    </row>
    <row r="16" spans="1:8" x14ac:dyDescent="0.2">
      <c r="A16" s="66" t="s">
        <v>174</v>
      </c>
      <c r="B16" s="67">
        <v>0.16500000000000001</v>
      </c>
      <c r="C16" s="27"/>
      <c r="D16" s="39"/>
      <c r="E16" s="27"/>
      <c r="F16" s="27"/>
      <c r="G16" s="27"/>
      <c r="H16" s="27"/>
    </row>
    <row r="17" spans="1:8" x14ac:dyDescent="0.2">
      <c r="A17" s="66" t="s">
        <v>175</v>
      </c>
      <c r="B17" s="68">
        <v>0.1</v>
      </c>
      <c r="C17" s="27"/>
      <c r="D17" s="39"/>
      <c r="E17" s="27"/>
      <c r="F17" s="27"/>
      <c r="G17" s="27"/>
      <c r="H17" s="27"/>
    </row>
    <row r="18" spans="1:8" x14ac:dyDescent="0.2">
      <c r="A18" s="27"/>
      <c r="B18" s="27"/>
      <c r="C18" s="27"/>
      <c r="D18" s="39"/>
      <c r="E18" s="27"/>
      <c r="F18" s="27"/>
      <c r="G18" s="27"/>
      <c r="H18" s="27"/>
    </row>
    <row r="19" spans="1:8" x14ac:dyDescent="0.2">
      <c r="A19" s="27"/>
      <c r="B19" s="27"/>
      <c r="C19" s="27"/>
      <c r="D19" s="39"/>
      <c r="E19" s="27"/>
      <c r="F19" s="27"/>
      <c r="G19" s="27"/>
      <c r="H19" s="27"/>
    </row>
    <row r="20" spans="1:8" x14ac:dyDescent="0.2">
      <c r="D20" s="1"/>
    </row>
    <row r="21" spans="1:8" x14ac:dyDescent="0.2">
      <c r="D21" s="1"/>
    </row>
    <row r="22" spans="1:8" x14ac:dyDescent="0.2">
      <c r="D22" s="1"/>
    </row>
    <row r="23" spans="1:8" x14ac:dyDescent="0.2">
      <c r="D23" s="1"/>
    </row>
    <row r="24" spans="1:8" x14ac:dyDescent="0.2">
      <c r="D24" s="1"/>
    </row>
    <row r="25" spans="1:8" x14ac:dyDescent="0.2">
      <c r="D25" s="1"/>
    </row>
  </sheetData>
  <mergeCells count="1">
    <mergeCell ref="A1:D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92F1-9EA9-46DE-ADA7-50B4F40417BB}">
  <sheetPr codeName="Лист5"/>
  <dimension ref="A1:S49"/>
  <sheetViews>
    <sheetView zoomScaleNormal="100" workbookViewId="0">
      <selection activeCell="Q27" sqref="Q27"/>
    </sheetView>
  </sheetViews>
  <sheetFormatPr defaultColWidth="8.875" defaultRowHeight="15" x14ac:dyDescent="0.2"/>
  <cols>
    <col min="2" max="2" width="14.66015625" customWidth="1"/>
    <col min="3" max="3" width="9.4140625" bestFit="1" customWidth="1"/>
    <col min="4" max="4" width="20.17578125" bestFit="1" customWidth="1"/>
    <col min="5" max="6" width="12.10546875" bestFit="1" customWidth="1"/>
    <col min="7" max="7" width="27.7109375" bestFit="1" customWidth="1"/>
    <col min="8" max="8" width="24.6171875" bestFit="1" customWidth="1"/>
    <col min="9" max="9" width="16.41015625" bestFit="1" customWidth="1"/>
    <col min="10" max="10" width="14.796875" bestFit="1" customWidth="1"/>
    <col min="11" max="11" width="16.27734375" bestFit="1" customWidth="1"/>
    <col min="12" max="12" width="34.03125" bestFit="1" customWidth="1"/>
    <col min="13" max="13" width="16.54296875" bestFit="1" customWidth="1"/>
    <col min="14" max="14" width="15.46875" bestFit="1" customWidth="1"/>
    <col min="15" max="15" width="15.19921875" bestFit="1" customWidth="1"/>
    <col min="16" max="16" width="25.2890625" bestFit="1" customWidth="1"/>
    <col min="17" max="18" width="29.45703125" bestFit="1" customWidth="1"/>
  </cols>
  <sheetData>
    <row r="1" spans="1:19" x14ac:dyDescent="0.2">
      <c r="A1" s="16"/>
      <c r="B1" s="16"/>
      <c r="C1" s="16"/>
      <c r="D1" s="16"/>
      <c r="E1" s="40"/>
      <c r="F1" s="40"/>
      <c r="G1" s="40"/>
      <c r="H1" s="40"/>
      <c r="I1" s="40"/>
      <c r="J1" s="40"/>
      <c r="K1" s="40"/>
      <c r="L1" s="40"/>
      <c r="M1" s="40"/>
      <c r="N1" s="16"/>
    </row>
    <row r="2" spans="1:19" ht="27.75" x14ac:dyDescent="0.2">
      <c r="A2" s="16"/>
      <c r="B2" s="46" t="s">
        <v>176</v>
      </c>
      <c r="C2" s="103" t="s">
        <v>176</v>
      </c>
      <c r="D2" s="104" t="s">
        <v>177</v>
      </c>
      <c r="E2" s="105" t="s">
        <v>178</v>
      </c>
      <c r="F2" s="106" t="s">
        <v>179</v>
      </c>
      <c r="G2" s="106" t="s">
        <v>180</v>
      </c>
      <c r="H2" s="106" t="s">
        <v>181</v>
      </c>
      <c r="I2" s="106" t="s">
        <v>182</v>
      </c>
      <c r="J2" s="106" t="s">
        <v>183</v>
      </c>
      <c r="K2" s="106" t="s">
        <v>184</v>
      </c>
      <c r="L2" s="106" t="s">
        <v>185</v>
      </c>
      <c r="M2" s="99" t="s">
        <v>186</v>
      </c>
      <c r="N2" s="107" t="s">
        <v>187</v>
      </c>
      <c r="O2" s="108" t="s">
        <v>243</v>
      </c>
      <c r="P2" s="108" t="s">
        <v>244</v>
      </c>
      <c r="Q2" s="108" t="s">
        <v>241</v>
      </c>
      <c r="R2" s="108" t="s">
        <v>242</v>
      </c>
      <c r="S2" s="109"/>
    </row>
    <row r="3" spans="1:19" x14ac:dyDescent="0.2">
      <c r="A3" s="16"/>
      <c r="B3" s="110" t="s">
        <v>176</v>
      </c>
      <c r="C3" s="111">
        <v>2026</v>
      </c>
      <c r="D3" s="102">
        <v>656600000</v>
      </c>
      <c r="E3" s="75">
        <v>7.4899999999999994E-2</v>
      </c>
      <c r="F3" s="75">
        <v>0.15326000000000001</v>
      </c>
      <c r="G3" s="96">
        <f>D3*0.6</f>
        <v>393960000</v>
      </c>
      <c r="H3" s="75">
        <f>D3*0.4</f>
        <v>262640000</v>
      </c>
      <c r="I3" s="96">
        <f t="shared" ref="I3:I11" si="0">G3*(1+E3)</f>
        <v>423467604</v>
      </c>
      <c r="J3" s="96">
        <f>H3*F3</f>
        <v>40252206.399999999</v>
      </c>
      <c r="K3" s="96">
        <f>G3*'Доходность акций'!$H$14*0.87</f>
        <v>30662671.082399998</v>
      </c>
      <c r="L3" s="75">
        <f>SUM(H3:K3)</f>
        <v>757022481.48239994</v>
      </c>
      <c r="M3" s="112">
        <v>281400000</v>
      </c>
      <c r="N3" s="121">
        <v>48000000</v>
      </c>
      <c r="O3" s="75">
        <f>0.04*L3</f>
        <v>30280899.259296</v>
      </c>
      <c r="P3" s="75"/>
      <c r="Q3" s="75">
        <f>O3-P3</f>
        <v>30280899.259296</v>
      </c>
      <c r="R3" s="75">
        <f>Q3*1.16</f>
        <v>35125843.140783355</v>
      </c>
      <c r="S3" s="109"/>
    </row>
    <row r="4" spans="1:19" x14ac:dyDescent="0.2">
      <c r="A4" s="16"/>
      <c r="B4" s="110" t="s">
        <v>176</v>
      </c>
      <c r="C4" s="111">
        <v>2027</v>
      </c>
      <c r="D4" s="46">
        <f>L3-(O3+P3)</f>
        <v>726741582.223104</v>
      </c>
      <c r="E4" s="75">
        <v>0.36220000000000002</v>
      </c>
      <c r="F4" s="114">
        <v>0.10826</v>
      </c>
      <c r="G4" s="96">
        <f>D4*0.6</f>
        <v>436044949.33386236</v>
      </c>
      <c r="H4" s="75">
        <f>D4*0.4</f>
        <v>290696632.88924164</v>
      </c>
      <c r="I4" s="96">
        <f t="shared" si="0"/>
        <v>593980429.98258734</v>
      </c>
      <c r="J4" s="96">
        <f t="shared" ref="J4:J23" si="1">H4*F4</f>
        <v>31470817.4765893</v>
      </c>
      <c r="K4" s="96">
        <f>G4*'Доходность акций'!$H$14*0.87</f>
        <v>33938224.33385621</v>
      </c>
      <c r="L4" s="75">
        <f t="shared" ref="L4:L22" si="2">SUM(H4:K4)</f>
        <v>950086104.68227458</v>
      </c>
      <c r="M4" s="75">
        <f>M3-N3</f>
        <v>233400000</v>
      </c>
      <c r="N4" s="100">
        <f>$N$3*(1+$C$25)^1</f>
        <v>51700800</v>
      </c>
      <c r="O4" s="75">
        <f>0.04*L4</f>
        <v>38003444.187290981</v>
      </c>
      <c r="P4" s="75"/>
      <c r="Q4" s="75">
        <f>O4-P4</f>
        <v>38003444.187290981</v>
      </c>
      <c r="R4" s="75">
        <f>(R3+Q4)*1.16</f>
        <v>84829973.300566226</v>
      </c>
      <c r="S4" s="116">
        <v>1</v>
      </c>
    </row>
    <row r="5" spans="1:19" x14ac:dyDescent="0.2">
      <c r="A5" s="16"/>
      <c r="B5" s="110" t="s">
        <v>176</v>
      </c>
      <c r="C5" s="111">
        <v>2028</v>
      </c>
      <c r="D5" s="46">
        <f t="shared" ref="D5:D23" si="3">L4-(O4+P4)</f>
        <v>912082660.49498355</v>
      </c>
      <c r="E5" s="75">
        <v>0.1686</v>
      </c>
      <c r="F5" s="75">
        <v>0.11576</v>
      </c>
      <c r="G5" s="96">
        <f>D5*0.6</f>
        <v>547249596.29699016</v>
      </c>
      <c r="H5" s="75">
        <f>D5*0.4</f>
        <v>364833064.19799346</v>
      </c>
      <c r="I5" s="96">
        <f t="shared" si="0"/>
        <v>639515878.2326628</v>
      </c>
      <c r="J5" s="96">
        <f t="shared" si="1"/>
        <v>42233075.511559725</v>
      </c>
      <c r="K5" s="96">
        <f>G5*'Доходность акций'!$H$14*0.87</f>
        <v>42593497.744011551</v>
      </c>
      <c r="L5" s="75">
        <f t="shared" si="2"/>
        <v>1089175515.6862276</v>
      </c>
      <c r="M5" s="75">
        <f>M4-N4</f>
        <v>181699200</v>
      </c>
      <c r="N5" s="100">
        <f>$N$3*(1+$C$25)^2</f>
        <v>55686931.679999992</v>
      </c>
      <c r="O5" s="75">
        <f>0.04*L5</f>
        <v>43567020.627449103</v>
      </c>
      <c r="P5" s="75"/>
      <c r="Q5" s="75">
        <f t="shared" ref="Q4:Q23" si="4">O5-P5</f>
        <v>43567020.627449103</v>
      </c>
      <c r="R5" s="75">
        <f t="shared" ref="R5:R23" si="5">(R4+Q5)*1.16</f>
        <v>148940512.95649776</v>
      </c>
      <c r="S5" s="116">
        <v>2</v>
      </c>
    </row>
    <row r="6" spans="1:19" x14ac:dyDescent="0.2">
      <c r="A6" s="16"/>
      <c r="B6" s="110" t="s">
        <v>176</v>
      </c>
      <c r="C6" s="111">
        <v>2029</v>
      </c>
      <c r="D6" s="46">
        <f t="shared" si="3"/>
        <v>1045608495.0587784</v>
      </c>
      <c r="E6" s="75">
        <v>0.1686</v>
      </c>
      <c r="F6" s="75">
        <f>F5</f>
        <v>0.11576</v>
      </c>
      <c r="G6" s="96">
        <f>D6*0.6</f>
        <v>627365097.035267</v>
      </c>
      <c r="H6" s="75">
        <f>D6*0.4</f>
        <v>418243398.02351141</v>
      </c>
      <c r="I6" s="96">
        <f t="shared" si="0"/>
        <v>733138852.39541304</v>
      </c>
      <c r="J6" s="96">
        <f t="shared" si="1"/>
        <v>48415855.755201682</v>
      </c>
      <c r="K6" s="96">
        <f>G6*'Доходность акций'!$H$14*0.87</f>
        <v>48829042.590543069</v>
      </c>
      <c r="L6" s="75">
        <f t="shared" si="2"/>
        <v>1248627148.7646689</v>
      </c>
      <c r="M6" s="75">
        <f>M5-N5</f>
        <v>126012268.32000001</v>
      </c>
      <c r="N6" s="100">
        <f>$N$3*(1+$C$25)^3</f>
        <v>59980394.112527989</v>
      </c>
      <c r="O6" s="75">
        <f>0.04*L6</f>
        <v>49945085.950586759</v>
      </c>
      <c r="P6" s="75"/>
      <c r="Q6" s="75">
        <f t="shared" si="4"/>
        <v>49945085.950586759</v>
      </c>
      <c r="R6" s="75">
        <f t="shared" si="5"/>
        <v>230707294.73221803</v>
      </c>
      <c r="S6" s="116">
        <v>3</v>
      </c>
    </row>
    <row r="7" spans="1:19" x14ac:dyDescent="0.2">
      <c r="A7" s="16"/>
      <c r="B7" s="110" t="s">
        <v>176</v>
      </c>
      <c r="C7" s="111">
        <v>2030</v>
      </c>
      <c r="D7" s="46">
        <f t="shared" si="3"/>
        <v>1198682062.8140821</v>
      </c>
      <c r="E7" s="75">
        <v>-4.6100000000000002E-2</v>
      </c>
      <c r="F7" s="75">
        <f>F5</f>
        <v>0.11576</v>
      </c>
      <c r="G7" s="96">
        <f>D7*0.6</f>
        <v>719209237.68844926</v>
      </c>
      <c r="H7" s="75">
        <f>D7*0.4</f>
        <v>479472825.12563288</v>
      </c>
      <c r="I7" s="96">
        <f t="shared" si="0"/>
        <v>686053691.83101177</v>
      </c>
      <c r="J7" s="96">
        <f t="shared" si="1"/>
        <v>55503774.236543261</v>
      </c>
      <c r="K7" s="96">
        <f>G7*'Доходность акций'!$H$14*0.87</f>
        <v>55977450.235213116</v>
      </c>
      <c r="L7" s="75">
        <f t="shared" si="2"/>
        <v>1277007741.4284008</v>
      </c>
      <c r="M7" s="75">
        <f>M6-N6</f>
        <v>66031874.207472019</v>
      </c>
      <c r="N7" s="100">
        <f>$N$3*(1+$C$25)^4</f>
        <v>64604882.498603888</v>
      </c>
      <c r="O7" s="75">
        <f>0.04*L7</f>
        <v>51080309.65713603</v>
      </c>
      <c r="P7" s="75"/>
      <c r="Q7" s="75">
        <f t="shared" si="4"/>
        <v>51080309.65713603</v>
      </c>
      <c r="R7" s="75">
        <f t="shared" si="5"/>
        <v>326873621.09165066</v>
      </c>
      <c r="S7" s="116">
        <v>4</v>
      </c>
    </row>
    <row r="8" spans="1:19" x14ac:dyDescent="0.2">
      <c r="A8" s="16"/>
      <c r="B8" s="110" t="s">
        <v>176</v>
      </c>
      <c r="C8" s="111">
        <v>2031</v>
      </c>
      <c r="D8" s="46">
        <f t="shared" si="3"/>
        <v>1225927431.7712648</v>
      </c>
      <c r="E8" s="98">
        <v>0.50980000000000003</v>
      </c>
      <c r="F8" s="98">
        <f>F5</f>
        <v>0.11576</v>
      </c>
      <c r="G8" s="97">
        <f>D8*0.6</f>
        <v>735556459.0627588</v>
      </c>
      <c r="H8" s="98">
        <f>D8*0.4</f>
        <v>490370972.70850593</v>
      </c>
      <c r="I8" s="97">
        <f t="shared" si="0"/>
        <v>1110543141.8929532</v>
      </c>
      <c r="J8" s="97">
        <f>H8*F8</f>
        <v>56765343.800736651</v>
      </c>
      <c r="K8" s="97">
        <f>G8*'Доходность акций'!$H$14*0.87</f>
        <v>57249786.188385092</v>
      </c>
      <c r="L8" s="98">
        <f>SUM(H8:K8)</f>
        <v>1714929244.5905807</v>
      </c>
      <c r="M8" s="98">
        <f>M7-N7</f>
        <v>1426991.708868131</v>
      </c>
      <c r="N8" s="100">
        <f>$N$3*(1+$C$25)^5</f>
        <v>69585918.939246237</v>
      </c>
      <c r="O8" s="75">
        <f>0.04*L8</f>
        <v>68597169.783623233</v>
      </c>
      <c r="P8" s="75">
        <v>0</v>
      </c>
      <c r="Q8" s="75">
        <f>O8-P8</f>
        <v>68597169.783623233</v>
      </c>
      <c r="R8" s="75">
        <f t="shared" si="5"/>
        <v>458746117.41531765</v>
      </c>
      <c r="S8" s="116">
        <v>5</v>
      </c>
    </row>
    <row r="9" spans="1:19" x14ac:dyDescent="0.2">
      <c r="A9" s="16"/>
      <c r="B9" s="110" t="s">
        <v>176</v>
      </c>
      <c r="C9" s="111">
        <v>2032</v>
      </c>
      <c r="D9" s="46">
        <f t="shared" si="3"/>
        <v>1646332074.8069575</v>
      </c>
      <c r="E9" s="75">
        <v>7.4899999999999994E-2</v>
      </c>
      <c r="F9" s="75">
        <f>F5</f>
        <v>0.11576</v>
      </c>
      <c r="G9" s="96">
        <f>D9*0.6</f>
        <v>987799244.88417447</v>
      </c>
      <c r="H9" s="75">
        <f>D9*0.4</f>
        <v>658532829.92278302</v>
      </c>
      <c r="I9" s="96">
        <f t="shared" si="0"/>
        <v>1061785408.3259991</v>
      </c>
      <c r="J9" s="96">
        <f t="shared" si="1"/>
        <v>76231760.391861364</v>
      </c>
      <c r="K9" s="96">
        <f>G9*'Доходность акций'!$H$14*0.87</f>
        <v>76882331.559870362</v>
      </c>
      <c r="L9" s="75">
        <f>SUM(H9:K9)</f>
        <v>1873432330.2005138</v>
      </c>
      <c r="M9" s="101">
        <v>0</v>
      </c>
      <c r="N9" s="100">
        <f>$N$3*(1+$C$25)^6</f>
        <v>74950993.289462119</v>
      </c>
      <c r="O9" s="75">
        <f>0.04*L9</f>
        <v>74937293.208020553</v>
      </c>
      <c r="P9" s="75">
        <f>N9-O9</f>
        <v>13700.081441566348</v>
      </c>
      <c r="Q9" s="75">
        <v>0</v>
      </c>
      <c r="R9" s="75">
        <f t="shared" si="5"/>
        <v>532145496.20176846</v>
      </c>
      <c r="S9" s="116">
        <v>6</v>
      </c>
    </row>
    <row r="10" spans="1:19" x14ac:dyDescent="0.2">
      <c r="A10" s="16"/>
      <c r="B10" s="110" t="s">
        <v>176</v>
      </c>
      <c r="C10" s="111">
        <v>2033</v>
      </c>
      <c r="D10" s="46">
        <f t="shared" si="3"/>
        <v>1798481336.9110518</v>
      </c>
      <c r="E10" s="75">
        <v>0.1638</v>
      </c>
      <c r="F10" s="75">
        <f>F5</f>
        <v>0.11576</v>
      </c>
      <c r="G10" s="96">
        <f>D10*0.6</f>
        <v>1079088802.146631</v>
      </c>
      <c r="H10" s="75">
        <f>D10*0.4</f>
        <v>719392534.76442075</v>
      </c>
      <c r="I10" s="96">
        <f t="shared" si="0"/>
        <v>1255843547.9382491</v>
      </c>
      <c r="J10" s="96">
        <f t="shared" si="1"/>
        <v>83276879.824329346</v>
      </c>
      <c r="K10" s="96">
        <f>G10*'Доходность акций'!$H$14*0.87</f>
        <v>83987574.903348446</v>
      </c>
      <c r="L10" s="75">
        <f t="shared" si="2"/>
        <v>2142500537.4303477</v>
      </c>
      <c r="M10" s="75"/>
      <c r="N10" s="100">
        <f>$N$3*(1+$C$25)^7</f>
        <v>80729714.872079641</v>
      </c>
      <c r="O10" s="75">
        <f>0.04*L10</f>
        <v>85700021.497213915</v>
      </c>
      <c r="P10" s="75">
        <v>0</v>
      </c>
      <c r="Q10" s="75">
        <f>O10-N10</f>
        <v>4970306.6251342744</v>
      </c>
      <c r="R10" s="75">
        <f t="shared" si="5"/>
        <v>623054331.27920711</v>
      </c>
      <c r="S10" s="116">
        <v>7</v>
      </c>
    </row>
    <row r="11" spans="1:19" x14ac:dyDescent="0.2">
      <c r="A11" s="16"/>
      <c r="B11" s="110" t="s">
        <v>176</v>
      </c>
      <c r="C11" s="111">
        <v>2034</v>
      </c>
      <c r="D11" s="46">
        <f t="shared" si="3"/>
        <v>2056800515.9331338</v>
      </c>
      <c r="E11" s="75">
        <v>0.50980000000000003</v>
      </c>
      <c r="F11" s="75">
        <f>F5</f>
        <v>0.11576</v>
      </c>
      <c r="G11" s="96">
        <f>D11*0.6</f>
        <v>1234080309.5598803</v>
      </c>
      <c r="H11" s="75">
        <f>D11*0.4</f>
        <v>822720206.37325358</v>
      </c>
      <c r="I11" s="96">
        <f t="shared" si="0"/>
        <v>1863214451.3735073</v>
      </c>
      <c r="J11" s="96">
        <f t="shared" si="1"/>
        <v>95238091.089767843</v>
      </c>
      <c r="K11" s="96">
        <f>G11*'Доходность акций'!$H$14*0.87</f>
        <v>96050864.608846009</v>
      </c>
      <c r="L11" s="75">
        <f t="shared" si="2"/>
        <v>2877223613.445375</v>
      </c>
      <c r="M11" s="75"/>
      <c r="N11" s="100">
        <f>$N$3*(1+$C$25)^8</f>
        <v>86953975.888716981</v>
      </c>
      <c r="O11" s="75">
        <f>0.04*L11</f>
        <v>115088944.537815</v>
      </c>
      <c r="P11" s="75">
        <v>0</v>
      </c>
      <c r="Q11" s="75">
        <f t="shared" ref="Q11:Q23" si="6">O11-N11</f>
        <v>28134968.649098024</v>
      </c>
      <c r="R11" s="75">
        <f t="shared" si="5"/>
        <v>755379587.91683388</v>
      </c>
      <c r="S11" s="116">
        <v>8</v>
      </c>
    </row>
    <row r="12" spans="1:19" x14ac:dyDescent="0.2">
      <c r="A12" s="16"/>
      <c r="B12" s="110" t="s">
        <v>176</v>
      </c>
      <c r="C12" s="111">
        <v>2035</v>
      </c>
      <c r="D12" s="46">
        <f t="shared" si="3"/>
        <v>2762134668.9075599</v>
      </c>
      <c r="E12" s="75">
        <v>0.36220000000000002</v>
      </c>
      <c r="F12" s="75">
        <f>F5</f>
        <v>0.11576</v>
      </c>
      <c r="G12" s="96">
        <f>D12*0.6</f>
        <v>1657280801.3445358</v>
      </c>
      <c r="H12" s="75">
        <f>D12*0.4</f>
        <v>1104853867.563024</v>
      </c>
      <c r="I12" s="96">
        <f t="shared" ref="I12:I23" si="7">G12*(1+E12)</f>
        <v>2257547907.591527</v>
      </c>
      <c r="J12" s="96">
        <f t="shared" si="1"/>
        <v>127897883.70909567</v>
      </c>
      <c r="K12" s="96">
        <f>G12*'Доходность акций'!$H$14*0.87</f>
        <v>128989379.89339982</v>
      </c>
      <c r="L12" s="75">
        <f t="shared" si="2"/>
        <v>3619289038.7570462</v>
      </c>
      <c r="M12" s="75"/>
      <c r="N12" s="100">
        <f>$N$3*(1+$C$25)^9</f>
        <v>93658127.429737046</v>
      </c>
      <c r="O12" s="75">
        <f>0.04*L12</f>
        <v>144771561.55028185</v>
      </c>
      <c r="P12" s="75">
        <v>0</v>
      </c>
      <c r="Q12" s="75">
        <f t="shared" si="6"/>
        <v>51113434.120544806</v>
      </c>
      <c r="R12" s="75">
        <f t="shared" si="5"/>
        <v>935531905.56335914</v>
      </c>
      <c r="S12" s="116">
        <v>9</v>
      </c>
    </row>
    <row r="13" spans="1:19" x14ac:dyDescent="0.2">
      <c r="A13" s="16"/>
      <c r="B13" s="110" t="s">
        <v>176</v>
      </c>
      <c r="C13" s="111">
        <v>2036</v>
      </c>
      <c r="D13" s="46">
        <f t="shared" si="3"/>
        <v>3474517477.2067642</v>
      </c>
      <c r="E13" s="75">
        <v>-4.6100000000000002E-2</v>
      </c>
      <c r="F13" s="75">
        <f>F5</f>
        <v>0.11576</v>
      </c>
      <c r="G13" s="96">
        <f>D13*0.6</f>
        <v>2084710486.3240585</v>
      </c>
      <c r="H13" s="75">
        <f>D13*0.4</f>
        <v>1389806990.8827057</v>
      </c>
      <c r="I13" s="96">
        <f t="shared" si="7"/>
        <v>1988605332.9045193</v>
      </c>
      <c r="J13" s="96">
        <f t="shared" si="1"/>
        <v>160884057.26458201</v>
      </c>
      <c r="K13" s="96">
        <f>G13*'Доходность акций'!$H$14*0.87</f>
        <v>162257061.48894492</v>
      </c>
      <c r="L13" s="75">
        <f t="shared" si="2"/>
        <v>3701553442.5407519</v>
      </c>
      <c r="M13" s="75"/>
      <c r="N13" s="100">
        <f>$N$3*(1+$C$25)^10</f>
        <v>100879169.05456977</v>
      </c>
      <c r="O13" s="75">
        <f>0.04*L13</f>
        <v>148062137.70163009</v>
      </c>
      <c r="P13" s="75">
        <v>0</v>
      </c>
      <c r="Q13" s="75">
        <f t="shared" si="6"/>
        <v>47182968.64706032</v>
      </c>
      <c r="R13" s="75">
        <f t="shared" si="5"/>
        <v>1139949254.0840864</v>
      </c>
      <c r="S13" s="116">
        <v>10</v>
      </c>
    </row>
    <row r="14" spans="1:19" x14ac:dyDescent="0.2">
      <c r="A14" s="16"/>
      <c r="B14" s="110" t="s">
        <v>176</v>
      </c>
      <c r="C14" s="111">
        <v>2037</v>
      </c>
      <c r="D14" s="46">
        <f t="shared" si="3"/>
        <v>3553491304.8391218</v>
      </c>
      <c r="E14" s="75">
        <v>7.4899999999999994E-2</v>
      </c>
      <c r="F14" s="75">
        <f>F5</f>
        <v>0.11576</v>
      </c>
      <c r="G14" s="96">
        <f>D14*0.6</f>
        <v>2132094782.9034729</v>
      </c>
      <c r="H14" s="75">
        <f>D14*0.4</f>
        <v>1421396521.9356489</v>
      </c>
      <c r="I14" s="96">
        <f t="shared" si="7"/>
        <v>2291788682.1429429</v>
      </c>
      <c r="J14" s="96">
        <f t="shared" si="1"/>
        <v>164540861.37927073</v>
      </c>
      <c r="K14" s="96">
        <f>G14*'Доходность акций'!$H$14*0.87</f>
        <v>165945073.2172561</v>
      </c>
      <c r="L14" s="75">
        <f t="shared" si="2"/>
        <v>4043671138.6751184</v>
      </c>
      <c r="M14" s="75"/>
      <c r="N14" s="100">
        <f>$N$3*(1+$C$25)^11</f>
        <v>108656952.98867708</v>
      </c>
      <c r="O14" s="75">
        <f>0.04*L14</f>
        <v>161746845.54700473</v>
      </c>
      <c r="P14" s="75">
        <v>0</v>
      </c>
      <c r="Q14" s="75">
        <f t="shared" si="6"/>
        <v>53089892.558327645</v>
      </c>
      <c r="R14" s="75">
        <f t="shared" si="5"/>
        <v>1383925410.1052003</v>
      </c>
      <c r="S14" s="116">
        <v>11</v>
      </c>
    </row>
    <row r="15" spans="1:19" x14ac:dyDescent="0.2">
      <c r="A15" s="16"/>
      <c r="B15" s="110" t="s">
        <v>176</v>
      </c>
      <c r="C15" s="111">
        <v>2038</v>
      </c>
      <c r="D15" s="46">
        <f t="shared" si="3"/>
        <v>3881924293.1281137</v>
      </c>
      <c r="E15" s="75">
        <v>7.4899999999999994E-2</v>
      </c>
      <c r="F15" s="75">
        <f>F5</f>
        <v>0.11576</v>
      </c>
      <c r="G15" s="96">
        <f>D15*0.6</f>
        <v>2329154575.8768682</v>
      </c>
      <c r="H15" s="75">
        <f>D15*0.4</f>
        <v>1552769717.2512455</v>
      </c>
      <c r="I15" s="96">
        <f t="shared" si="7"/>
        <v>2503608253.6100454</v>
      </c>
      <c r="J15" s="96">
        <f t="shared" si="1"/>
        <v>179748622.46900418</v>
      </c>
      <c r="K15" s="96">
        <f>G15*'Доходность акций'!$H$14*0.87</f>
        <v>181282619.20037383</v>
      </c>
      <c r="L15" s="75">
        <f t="shared" si="2"/>
        <v>4417409212.5306692</v>
      </c>
      <c r="M15" s="75"/>
      <c r="N15" s="100">
        <f>$N$3*(1+$C$25)^12</f>
        <v>117034404.0641041</v>
      </c>
      <c r="O15" s="75">
        <f>0.04*L15</f>
        <v>176696368.50122678</v>
      </c>
      <c r="P15" s="75">
        <v>0</v>
      </c>
      <c r="Q15" s="75">
        <f t="shared" si="6"/>
        <v>59661964.437122688</v>
      </c>
      <c r="R15" s="75">
        <f t="shared" si="5"/>
        <v>1674561354.4690945</v>
      </c>
      <c r="S15" s="116">
        <v>12</v>
      </c>
    </row>
    <row r="16" spans="1:19" x14ac:dyDescent="0.2">
      <c r="A16" s="16"/>
      <c r="B16" s="110" t="s">
        <v>176</v>
      </c>
      <c r="C16" s="111">
        <v>2039</v>
      </c>
      <c r="D16" s="46">
        <f t="shared" si="3"/>
        <v>4240712844.0294423</v>
      </c>
      <c r="E16" s="75">
        <v>7.4899999999999994E-2</v>
      </c>
      <c r="F16" s="75">
        <f>F5</f>
        <v>0.11576</v>
      </c>
      <c r="G16" s="96">
        <f>D16*0.6</f>
        <v>2544427706.4176655</v>
      </c>
      <c r="H16" s="75">
        <f>D16*0.4</f>
        <v>1696285137.6117771</v>
      </c>
      <c r="I16" s="96">
        <f t="shared" si="7"/>
        <v>2735005341.6283484</v>
      </c>
      <c r="J16" s="96">
        <f t="shared" si="1"/>
        <v>196361967.52993932</v>
      </c>
      <c r="K16" s="96">
        <f>G16*'Доходность акций'!$H$14*0.87</f>
        <v>198037744.5802373</v>
      </c>
      <c r="L16" s="75">
        <f t="shared" si="2"/>
        <v>4825690191.3503027</v>
      </c>
      <c r="M16" s="75"/>
      <c r="N16" s="100">
        <f>$N$3*(1+$C$25)^13</f>
        <v>126057756.6174465</v>
      </c>
      <c r="O16" s="75">
        <f>0.04*L16</f>
        <v>193027607.65401211</v>
      </c>
      <c r="P16" s="75">
        <v>0</v>
      </c>
      <c r="Q16" s="75">
        <f t="shared" si="6"/>
        <v>66969851.036565617</v>
      </c>
      <c r="R16" s="75">
        <f t="shared" si="5"/>
        <v>2020176198.3865654</v>
      </c>
      <c r="S16" s="116">
        <v>13</v>
      </c>
    </row>
    <row r="17" spans="1:19" x14ac:dyDescent="0.2">
      <c r="A17" s="16"/>
      <c r="B17" s="115" t="s">
        <v>176</v>
      </c>
      <c r="C17" s="111">
        <v>2040</v>
      </c>
      <c r="D17" s="46">
        <f t="shared" si="3"/>
        <v>4632662583.696291</v>
      </c>
      <c r="E17" s="75">
        <v>7.4899999999999994E-2</v>
      </c>
      <c r="F17" s="75">
        <f>F5</f>
        <v>0.11576</v>
      </c>
      <c r="G17" s="96">
        <f>D17*0.6</f>
        <v>2779597550.2177744</v>
      </c>
      <c r="H17" s="75">
        <f>D17*0.4</f>
        <v>1853065033.4785166</v>
      </c>
      <c r="I17" s="96">
        <f t="shared" si="7"/>
        <v>2987789406.7290854</v>
      </c>
      <c r="J17" s="96">
        <f t="shared" si="1"/>
        <v>214510808.27547309</v>
      </c>
      <c r="K17" s="96">
        <f>G17*'Доходность акций'!$H$14*0.87</f>
        <v>216341469.75269675</v>
      </c>
      <c r="L17" s="75">
        <f t="shared" si="2"/>
        <v>5271706718.2357712</v>
      </c>
      <c r="M17" s="75"/>
      <c r="N17" s="100">
        <f>$N$3*(1+$C$25)^14</f>
        <v>135776809.65265161</v>
      </c>
      <c r="O17" s="75">
        <f>0.04*L17</f>
        <v>210868268.72943085</v>
      </c>
      <c r="P17" s="75">
        <v>0</v>
      </c>
      <c r="Q17" s="75">
        <f t="shared" si="6"/>
        <v>75091459.076779246</v>
      </c>
      <c r="R17" s="75">
        <f t="shared" si="5"/>
        <v>2430510482.6574798</v>
      </c>
      <c r="S17" s="116">
        <v>14</v>
      </c>
    </row>
    <row r="18" spans="1:19" x14ac:dyDescent="0.2">
      <c r="A18" s="16"/>
      <c r="B18" s="115" t="s">
        <v>176</v>
      </c>
      <c r="C18" s="111">
        <v>2041</v>
      </c>
      <c r="D18" s="46">
        <f t="shared" si="3"/>
        <v>5060838449.50634</v>
      </c>
      <c r="E18" s="75">
        <v>0.36220000000000002</v>
      </c>
      <c r="F18" s="75">
        <f>F5</f>
        <v>0.11576</v>
      </c>
      <c r="G18" s="96">
        <f>D18*0.6</f>
        <v>3036503069.703804</v>
      </c>
      <c r="H18" s="75">
        <f>D18*0.4</f>
        <v>2024335379.802536</v>
      </c>
      <c r="I18" s="96">
        <f t="shared" si="7"/>
        <v>4136324481.5505219</v>
      </c>
      <c r="J18" s="96">
        <f t="shared" si="1"/>
        <v>234337063.56594157</v>
      </c>
      <c r="K18" s="96">
        <f>G18*'Доходность акций'!$H$14*0.87</f>
        <v>236336924.73100224</v>
      </c>
      <c r="L18" s="75">
        <f t="shared" si="2"/>
        <v>6631333849.6500015</v>
      </c>
      <c r="M18" s="75"/>
      <c r="N18" s="100">
        <f>$N$3*(1+$C$25)^15</f>
        <v>146245201.67687106</v>
      </c>
      <c r="O18" s="75">
        <f>0.04*L18</f>
        <v>265253353.98600006</v>
      </c>
      <c r="P18" s="75">
        <v>0</v>
      </c>
      <c r="Q18" s="75">
        <f t="shared" si="6"/>
        <v>119008152.309129</v>
      </c>
      <c r="R18" s="75">
        <f t="shared" si="5"/>
        <v>2957441616.5612664</v>
      </c>
      <c r="S18" s="116">
        <v>15</v>
      </c>
    </row>
    <row r="19" spans="1:19" x14ac:dyDescent="0.2">
      <c r="A19" s="16"/>
      <c r="B19" s="110" t="s">
        <v>176</v>
      </c>
      <c r="C19" s="111">
        <v>2042</v>
      </c>
      <c r="D19" s="46">
        <f t="shared" si="3"/>
        <v>6366080495.6640015</v>
      </c>
      <c r="E19" s="75">
        <v>0.50980000000000003</v>
      </c>
      <c r="F19" s="75">
        <f>F5</f>
        <v>0.11576</v>
      </c>
      <c r="G19" s="96">
        <f>D19*0.6</f>
        <v>3819648297.3984008</v>
      </c>
      <c r="H19" s="75">
        <f>D19*0.4</f>
        <v>2546432198.2656007</v>
      </c>
      <c r="I19" s="96">
        <f t="shared" si="7"/>
        <v>5766904999.4121056</v>
      </c>
      <c r="J19" s="96">
        <f t="shared" si="1"/>
        <v>294774991.27122593</v>
      </c>
      <c r="K19" s="96">
        <f>G19*'Доходность акций'!$H$14*0.87</f>
        <v>297290637.10421443</v>
      </c>
      <c r="L19" s="75">
        <f t="shared" si="2"/>
        <v>8905402826.0531464</v>
      </c>
      <c r="M19" s="75"/>
      <c r="N19" s="100">
        <f>$N$3*(1+$C$25)^16</f>
        <v>157520706.72615778</v>
      </c>
      <c r="O19" s="75">
        <f>0.04*L19</f>
        <v>356216113.04212588</v>
      </c>
      <c r="P19" s="75">
        <v>0</v>
      </c>
      <c r="Q19" s="75">
        <f t="shared" si="6"/>
        <v>198695406.3159681</v>
      </c>
      <c r="R19" s="75">
        <f t="shared" si="5"/>
        <v>3661118946.5375919</v>
      </c>
      <c r="S19" s="116">
        <v>16</v>
      </c>
    </row>
    <row r="20" spans="1:19" x14ac:dyDescent="0.2">
      <c r="A20" s="16"/>
      <c r="B20" s="110" t="s">
        <v>176</v>
      </c>
      <c r="C20" s="111">
        <v>2043</v>
      </c>
      <c r="D20" s="46">
        <f t="shared" si="3"/>
        <v>8549186713.0110207</v>
      </c>
      <c r="E20" s="75">
        <v>-4.6100000000000002E-2</v>
      </c>
      <c r="F20" s="75">
        <f>F5</f>
        <v>0.11576</v>
      </c>
      <c r="G20" s="96">
        <f>D20*0.6</f>
        <v>5129512027.806612</v>
      </c>
      <c r="H20" s="75">
        <f>D20*0.4</f>
        <v>3419674685.2044086</v>
      </c>
      <c r="I20" s="96">
        <f t="shared" si="7"/>
        <v>4893041523.3247271</v>
      </c>
      <c r="J20" s="96">
        <f t="shared" si="1"/>
        <v>395861541.55926234</v>
      </c>
      <c r="K20" s="96">
        <f>G20*'Доходность акций'!$H$14*0.87</f>
        <v>399239872.37752247</v>
      </c>
      <c r="L20" s="75">
        <f t="shared" si="2"/>
        <v>9107817622.4659195</v>
      </c>
      <c r="M20" s="75"/>
      <c r="N20" s="100">
        <f>$N$3*(1+$C$25)^17</f>
        <v>169665553.21474454</v>
      </c>
      <c r="O20" s="75">
        <f>0.04*L20</f>
        <v>364312704.89863676</v>
      </c>
      <c r="P20" s="75">
        <v>0</v>
      </c>
      <c r="Q20" s="75">
        <f t="shared" si="6"/>
        <v>194647151.68389222</v>
      </c>
      <c r="R20" s="75">
        <f t="shared" si="5"/>
        <v>4472688673.9369211</v>
      </c>
      <c r="S20" s="116">
        <v>17</v>
      </c>
    </row>
    <row r="21" spans="1:19" x14ac:dyDescent="0.2">
      <c r="A21" s="16"/>
      <c r="B21" s="110" t="s">
        <v>176</v>
      </c>
      <c r="C21" s="111">
        <v>2044</v>
      </c>
      <c r="D21" s="46">
        <f t="shared" si="3"/>
        <v>8743504917.5672836</v>
      </c>
      <c r="E21" s="75">
        <v>0.1686</v>
      </c>
      <c r="F21" s="75">
        <f>F5</f>
        <v>0.11576</v>
      </c>
      <c r="G21" s="96">
        <f>D21*0.6</f>
        <v>5246102950.54037</v>
      </c>
      <c r="H21" s="75">
        <f>D21*0.4</f>
        <v>3497401967.0269136</v>
      </c>
      <c r="I21" s="96">
        <f t="shared" si="7"/>
        <v>6130595908.0014772</v>
      </c>
      <c r="J21" s="96">
        <f t="shared" si="1"/>
        <v>404859251.70303553</v>
      </c>
      <c r="K21" s="96">
        <f>G21*'Доходность акций'!$H$14*0.87</f>
        <v>408314370.08028096</v>
      </c>
      <c r="L21" s="75">
        <f t="shared" si="2"/>
        <v>10441171496.811707</v>
      </c>
      <c r="M21" s="75"/>
      <c r="N21" s="100">
        <f>$N$3*(1+$C$25)^18</f>
        <v>182746767.36760134</v>
      </c>
      <c r="O21" s="75">
        <f>0.04*L21</f>
        <v>417646859.87246829</v>
      </c>
      <c r="P21" s="75">
        <v>0</v>
      </c>
      <c r="Q21" s="75">
        <f t="shared" si="6"/>
        <v>234900092.50486696</v>
      </c>
      <c r="R21" s="75">
        <f t="shared" si="5"/>
        <v>5460802969.0724735</v>
      </c>
      <c r="S21" s="116">
        <v>18</v>
      </c>
    </row>
    <row r="22" spans="1:19" x14ac:dyDescent="0.2">
      <c r="A22" s="16"/>
      <c r="B22" s="110" t="s">
        <v>176</v>
      </c>
      <c r="C22" s="111">
        <v>2045</v>
      </c>
      <c r="D22" s="46">
        <f t="shared" si="3"/>
        <v>10023524636.939238</v>
      </c>
      <c r="E22" s="75">
        <v>0.36220000000000002</v>
      </c>
      <c r="F22" s="75">
        <f>F5</f>
        <v>0.11576</v>
      </c>
      <c r="G22" s="96">
        <f>D22*0.6</f>
        <v>6014114782.1635427</v>
      </c>
      <c r="H22" s="75">
        <f>D22*0.4</f>
        <v>4009409854.7756953</v>
      </c>
      <c r="I22" s="96">
        <f t="shared" si="7"/>
        <v>8192427156.2631788</v>
      </c>
      <c r="J22" s="96">
        <f t="shared" si="1"/>
        <v>464129284.78883451</v>
      </c>
      <c r="K22" s="96">
        <f>G22*'Доходность акций'!$H$14*0.87</f>
        <v>468090220.87846583</v>
      </c>
      <c r="L22" s="75">
        <f t="shared" si="2"/>
        <v>13134056516.706173</v>
      </c>
      <c r="M22" s="75"/>
      <c r="N22" s="100">
        <f>$N$3*(1+$C$25)^19</f>
        <v>196836543.13164335</v>
      </c>
      <c r="O22" s="75">
        <f>0.04*L22</f>
        <v>525362260.66824692</v>
      </c>
      <c r="P22" s="75">
        <v>0</v>
      </c>
      <c r="Q22" s="75">
        <f t="shared" si="6"/>
        <v>328525717.53660357</v>
      </c>
      <c r="R22" s="75">
        <f t="shared" si="5"/>
        <v>6715621276.4665298</v>
      </c>
      <c r="S22" s="116">
        <v>19</v>
      </c>
    </row>
    <row r="23" spans="1:19" x14ac:dyDescent="0.2">
      <c r="A23" s="16"/>
      <c r="B23" s="110" t="s">
        <v>176</v>
      </c>
      <c r="C23" s="111">
        <v>2046</v>
      </c>
      <c r="D23" s="46">
        <f t="shared" si="3"/>
        <v>12608694256.037926</v>
      </c>
      <c r="E23" s="75">
        <v>0.1686</v>
      </c>
      <c r="F23" s="75">
        <f>F5</f>
        <v>0.11576</v>
      </c>
      <c r="G23" s="96">
        <f>D23*0.6</f>
        <v>7565216553.6227551</v>
      </c>
      <c r="H23" s="75">
        <f>D23*0.4</f>
        <v>5043477702.4151707</v>
      </c>
      <c r="I23" s="96">
        <f t="shared" si="7"/>
        <v>8840712064.5635529</v>
      </c>
      <c r="J23" s="96">
        <f t="shared" si="1"/>
        <v>583832978.83158016</v>
      </c>
      <c r="K23" s="96">
        <f>G23*'Доходность акций'!$H$14*0.87</f>
        <v>588815480.88857293</v>
      </c>
      <c r="L23" s="75">
        <f>SUM(I23,K23)</f>
        <v>9429527545.4521255</v>
      </c>
      <c r="M23" s="75"/>
      <c r="N23" s="100">
        <f>$N$3*(1+$C$25)^20</f>
        <v>212012640.60709307</v>
      </c>
      <c r="O23" s="75">
        <f>0.04*L23</f>
        <v>377181101.81808501</v>
      </c>
      <c r="P23" s="75">
        <v>0</v>
      </c>
      <c r="Q23" s="75">
        <f t="shared" si="6"/>
        <v>165168461.21099195</v>
      </c>
      <c r="R23" s="75">
        <f t="shared" si="5"/>
        <v>7981716095.705925</v>
      </c>
      <c r="S23" s="116">
        <v>20</v>
      </c>
    </row>
    <row r="24" spans="1:19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9" x14ac:dyDescent="0.2">
      <c r="A25" s="16"/>
      <c r="B25" s="58" t="s">
        <v>61</v>
      </c>
      <c r="C25" s="59">
        <v>7.7100000000000002E-2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9" x14ac:dyDescent="0.2">
      <c r="A26" s="16"/>
      <c r="B26" s="58" t="s">
        <v>188</v>
      </c>
      <c r="C26" s="60">
        <v>0.13</v>
      </c>
      <c r="D26" s="16"/>
      <c r="E26" s="16"/>
      <c r="F26" s="16"/>
      <c r="G26" s="61"/>
      <c r="H26" s="25"/>
      <c r="I26" s="16"/>
      <c r="J26" s="16"/>
      <c r="K26" s="16"/>
      <c r="L26" s="16"/>
      <c r="M26" s="16"/>
      <c r="N26" s="16"/>
    </row>
    <row r="27" spans="1:19" x14ac:dyDescent="0.2">
      <c r="A27" s="16"/>
      <c r="B27" s="16"/>
      <c r="C27" s="16"/>
      <c r="D27" s="16"/>
      <c r="E27" s="16"/>
      <c r="F27" s="16"/>
      <c r="G27" s="16"/>
      <c r="H27" s="61"/>
      <c r="I27" s="25"/>
      <c r="J27" s="16"/>
      <c r="K27" s="16"/>
      <c r="L27" s="16"/>
      <c r="M27" s="16"/>
      <c r="N27" s="16"/>
    </row>
    <row r="28" spans="1:19" x14ac:dyDescent="0.2">
      <c r="A28" s="16"/>
      <c r="B28" s="16"/>
      <c r="C28" s="16"/>
      <c r="D28" s="16"/>
      <c r="E28" s="16"/>
      <c r="F28" s="61"/>
      <c r="G28" s="16"/>
      <c r="H28" s="61"/>
      <c r="I28" s="25"/>
      <c r="J28" s="25"/>
      <c r="K28" s="16"/>
      <c r="L28" s="16"/>
      <c r="M28" s="16"/>
      <c r="N28" s="16"/>
    </row>
    <row r="29" spans="1:19" x14ac:dyDescent="0.2">
      <c r="F29" s="13"/>
      <c r="H29" s="13"/>
      <c r="I29" s="1"/>
      <c r="J29" s="1"/>
    </row>
    <row r="30" spans="1:19" x14ac:dyDescent="0.2">
      <c r="F30" s="13"/>
      <c r="H30" s="13"/>
      <c r="I30" s="1"/>
      <c r="J30" s="1"/>
    </row>
    <row r="31" spans="1:19" x14ac:dyDescent="0.2">
      <c r="F31" s="13"/>
      <c r="H31" s="13"/>
      <c r="I31" s="1"/>
      <c r="J31" s="1"/>
    </row>
    <row r="32" spans="1:19" x14ac:dyDescent="0.2">
      <c r="F32" s="13"/>
      <c r="H32" s="13"/>
      <c r="I32" s="1"/>
      <c r="J32" s="1"/>
    </row>
    <row r="33" spans="6:10" x14ac:dyDescent="0.2">
      <c r="F33" s="13"/>
      <c r="H33" s="13"/>
      <c r="I33" s="1"/>
      <c r="J33" s="1"/>
    </row>
    <row r="34" spans="6:10" x14ac:dyDescent="0.2">
      <c r="F34" s="13"/>
      <c r="H34" s="13"/>
      <c r="I34" s="1"/>
      <c r="J34" s="1"/>
    </row>
    <row r="35" spans="6:10" x14ac:dyDescent="0.2">
      <c r="H35" s="13"/>
      <c r="I35" s="1"/>
    </row>
    <row r="36" spans="6:10" x14ac:dyDescent="0.2">
      <c r="F36" s="13"/>
      <c r="H36" s="13"/>
      <c r="I36" s="1"/>
      <c r="J36" s="1"/>
    </row>
    <row r="37" spans="6:10" x14ac:dyDescent="0.2">
      <c r="F37" s="13"/>
      <c r="H37" s="13"/>
      <c r="I37" s="1"/>
      <c r="J37" s="1"/>
    </row>
    <row r="38" spans="6:10" x14ac:dyDescent="0.2">
      <c r="F38" s="13"/>
      <c r="H38" s="13"/>
      <c r="I38" s="1"/>
      <c r="J38" s="1"/>
    </row>
    <row r="39" spans="6:10" x14ac:dyDescent="0.2">
      <c r="F39" s="13"/>
      <c r="H39" s="13"/>
      <c r="I39" s="1"/>
      <c r="J39" s="1"/>
    </row>
    <row r="40" spans="6:10" x14ac:dyDescent="0.2">
      <c r="F40" s="13"/>
      <c r="H40" s="13"/>
      <c r="I40" s="1"/>
      <c r="J40" s="1"/>
    </row>
    <row r="41" spans="6:10" x14ac:dyDescent="0.2">
      <c r="F41" s="13"/>
      <c r="H41" s="13"/>
      <c r="I41" s="1"/>
      <c r="J41" s="1"/>
    </row>
    <row r="42" spans="6:10" x14ac:dyDescent="0.2">
      <c r="F42" s="13"/>
      <c r="H42" s="13"/>
      <c r="I42" s="1"/>
      <c r="J42" s="1"/>
    </row>
    <row r="43" spans="6:10" x14ac:dyDescent="0.2">
      <c r="F43" s="13"/>
      <c r="H43" s="14"/>
      <c r="I43" s="1"/>
      <c r="J43" s="1"/>
    </row>
    <row r="44" spans="6:10" x14ac:dyDescent="0.2">
      <c r="F44" s="13"/>
      <c r="H44" s="13"/>
      <c r="I44" s="2"/>
      <c r="J44" s="1"/>
    </row>
    <row r="45" spans="6:10" x14ac:dyDescent="0.2">
      <c r="F45" s="13"/>
      <c r="H45" s="13"/>
      <c r="I45" s="1"/>
      <c r="J45" s="1"/>
    </row>
    <row r="46" spans="6:10" x14ac:dyDescent="0.2">
      <c r="F46" s="13"/>
      <c r="H46" s="13"/>
      <c r="I46" s="1"/>
      <c r="J46" s="1"/>
    </row>
    <row r="47" spans="6:10" x14ac:dyDescent="0.2">
      <c r="F47" s="13"/>
      <c r="H47" s="13"/>
      <c r="I47" s="1"/>
      <c r="J47" s="1"/>
    </row>
    <row r="48" spans="6:10" x14ac:dyDescent="0.2">
      <c r="F48" s="13"/>
      <c r="H48" s="1"/>
      <c r="J48" s="1"/>
    </row>
    <row r="49" spans="6:10" x14ac:dyDescent="0.2">
      <c r="F49" s="13"/>
      <c r="H49" s="1"/>
      <c r="J4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E2B8-4E46-4EB8-B6AD-F1D5FAE20102}">
  <dimension ref="B3:E61"/>
  <sheetViews>
    <sheetView topLeftCell="A15" zoomScaleNormal="100" workbookViewId="0">
      <selection activeCell="D34" sqref="D34"/>
    </sheetView>
  </sheetViews>
  <sheetFormatPr defaultColWidth="8.875" defaultRowHeight="15" x14ac:dyDescent="0.2"/>
  <cols>
    <col min="2" max="2" width="29.86328125" bestFit="1" customWidth="1"/>
    <col min="3" max="3" width="27.57421875" customWidth="1"/>
    <col min="4" max="4" width="49.90625" bestFit="1" customWidth="1"/>
    <col min="5" max="5" width="36.453125" bestFit="1" customWidth="1"/>
    <col min="9" max="9" width="25.9609375" bestFit="1" customWidth="1"/>
    <col min="10" max="10" width="27.3046875" bestFit="1" customWidth="1"/>
    <col min="11" max="11" width="47.484375" bestFit="1" customWidth="1"/>
    <col min="12" max="12" width="34.70703125" bestFit="1" customWidth="1"/>
  </cols>
  <sheetData>
    <row r="3" spans="2:5" x14ac:dyDescent="0.2">
      <c r="B3" s="135" t="s">
        <v>67</v>
      </c>
      <c r="C3" s="77" t="s">
        <v>59</v>
      </c>
      <c r="D3" s="27"/>
      <c r="E3" s="27"/>
    </row>
    <row r="4" spans="2:5" x14ac:dyDescent="0.2">
      <c r="B4" s="135"/>
      <c r="C4" s="77" t="s">
        <v>60</v>
      </c>
      <c r="D4" s="27"/>
      <c r="E4" s="27"/>
    </row>
    <row r="5" spans="2:5" x14ac:dyDescent="0.2">
      <c r="B5" s="135"/>
      <c r="C5" s="77" t="s">
        <v>61</v>
      </c>
      <c r="D5" s="27"/>
      <c r="E5" s="27"/>
    </row>
    <row r="6" spans="2:5" x14ac:dyDescent="0.2">
      <c r="B6" s="135"/>
      <c r="C6" s="77" t="s">
        <v>68</v>
      </c>
      <c r="D6" s="27"/>
      <c r="E6" s="27"/>
    </row>
    <row r="7" spans="2:5" x14ac:dyDescent="0.2">
      <c r="B7" s="135"/>
      <c r="C7" s="77" t="s">
        <v>104</v>
      </c>
      <c r="D7" s="27"/>
      <c r="E7" s="27"/>
    </row>
    <row r="8" spans="2:5" x14ac:dyDescent="0.2">
      <c r="B8" s="27"/>
      <c r="C8" s="27"/>
      <c r="D8" s="27"/>
      <c r="E8" s="27"/>
    </row>
    <row r="9" spans="2:5" x14ac:dyDescent="0.2">
      <c r="B9" s="27"/>
      <c r="C9" s="27"/>
      <c r="D9" s="27"/>
      <c r="E9" s="27"/>
    </row>
    <row r="10" spans="2:5" x14ac:dyDescent="0.2">
      <c r="B10" s="134" t="s">
        <v>217</v>
      </c>
      <c r="C10" s="134"/>
      <c r="D10" s="134"/>
      <c r="E10" s="78" t="s">
        <v>64</v>
      </c>
    </row>
    <row r="11" spans="2:5" x14ac:dyDescent="0.2">
      <c r="B11" s="132" t="s">
        <v>69</v>
      </c>
      <c r="C11" s="79" t="s">
        <v>62</v>
      </c>
      <c r="D11" s="79" t="s">
        <v>73</v>
      </c>
      <c r="E11" s="80"/>
    </row>
    <row r="12" spans="2:5" x14ac:dyDescent="0.2">
      <c r="B12" s="132"/>
      <c r="C12" s="79" t="s">
        <v>74</v>
      </c>
      <c r="D12" s="79" t="s">
        <v>78</v>
      </c>
      <c r="E12" s="80"/>
    </row>
    <row r="13" spans="2:5" x14ac:dyDescent="0.2">
      <c r="B13" s="132"/>
      <c r="C13" s="79" t="s">
        <v>79</v>
      </c>
      <c r="D13" s="79" t="s">
        <v>83</v>
      </c>
      <c r="E13" s="80"/>
    </row>
    <row r="14" spans="2:5" x14ac:dyDescent="0.2">
      <c r="B14" s="136" t="s">
        <v>84</v>
      </c>
      <c r="C14" s="81" t="s">
        <v>59</v>
      </c>
      <c r="D14" s="81" t="s">
        <v>194</v>
      </c>
      <c r="E14" s="81" t="s">
        <v>87</v>
      </c>
    </row>
    <row r="15" spans="2:5" x14ac:dyDescent="0.2">
      <c r="B15" s="136"/>
      <c r="C15" s="81" t="s">
        <v>60</v>
      </c>
      <c r="D15" s="81" t="s">
        <v>194</v>
      </c>
      <c r="E15" s="81" t="s">
        <v>87</v>
      </c>
    </row>
    <row r="16" spans="2:5" x14ac:dyDescent="0.2">
      <c r="B16" s="136"/>
      <c r="C16" s="81" t="s">
        <v>61</v>
      </c>
      <c r="D16" s="81" t="s">
        <v>194</v>
      </c>
      <c r="E16" s="81" t="s">
        <v>91</v>
      </c>
    </row>
    <row r="17" spans="2:5" x14ac:dyDescent="0.2">
      <c r="B17" s="136"/>
      <c r="C17" s="81" t="s">
        <v>92</v>
      </c>
      <c r="D17" s="82" t="s">
        <v>95</v>
      </c>
      <c r="E17" s="81" t="s">
        <v>96</v>
      </c>
    </row>
    <row r="18" spans="2:5" ht="41.25" x14ac:dyDescent="0.2">
      <c r="B18" s="131" t="s">
        <v>98</v>
      </c>
      <c r="C18" s="95" t="s">
        <v>99</v>
      </c>
      <c r="D18" s="95" t="s">
        <v>220</v>
      </c>
      <c r="E18" s="95" t="s">
        <v>221</v>
      </c>
    </row>
    <row r="19" spans="2:5" ht="41.25" x14ac:dyDescent="0.2">
      <c r="B19" s="131"/>
      <c r="C19" s="95" t="s">
        <v>100</v>
      </c>
      <c r="D19" s="95" t="s">
        <v>218</v>
      </c>
      <c r="E19" s="95" t="s">
        <v>222</v>
      </c>
    </row>
    <row r="20" spans="2:5" ht="41.25" x14ac:dyDescent="0.2">
      <c r="B20" s="131"/>
      <c r="C20" s="95" t="s">
        <v>101</v>
      </c>
      <c r="D20" s="95" t="s">
        <v>219</v>
      </c>
      <c r="E20" s="95" t="s">
        <v>223</v>
      </c>
    </row>
    <row r="21" spans="2:5" x14ac:dyDescent="0.2">
      <c r="B21" s="85" t="s">
        <v>103</v>
      </c>
      <c r="C21" s="86" t="s">
        <v>104</v>
      </c>
      <c r="D21" s="86" t="s">
        <v>245</v>
      </c>
      <c r="E21" s="87"/>
    </row>
    <row r="22" spans="2:5" x14ac:dyDescent="0.2">
      <c r="B22" s="27"/>
      <c r="C22" s="27"/>
      <c r="D22" s="27"/>
      <c r="E22" s="27"/>
    </row>
    <row r="23" spans="2:5" x14ac:dyDescent="0.2">
      <c r="B23" s="134" t="s">
        <v>65</v>
      </c>
      <c r="C23" s="134"/>
      <c r="D23" s="134"/>
      <c r="E23" s="78" t="s">
        <v>64</v>
      </c>
    </row>
    <row r="24" spans="2:5" x14ac:dyDescent="0.2">
      <c r="B24" s="132" t="s">
        <v>69</v>
      </c>
      <c r="C24" s="79" t="s">
        <v>62</v>
      </c>
      <c r="D24" s="79" t="s">
        <v>70</v>
      </c>
      <c r="E24" s="88"/>
    </row>
    <row r="25" spans="2:5" x14ac:dyDescent="0.2">
      <c r="B25" s="132"/>
      <c r="C25" s="79" t="s">
        <v>74</v>
      </c>
      <c r="D25" s="79" t="s">
        <v>75</v>
      </c>
      <c r="E25" s="88"/>
    </row>
    <row r="26" spans="2:5" x14ac:dyDescent="0.2">
      <c r="B26" s="132"/>
      <c r="C26" s="79" t="s">
        <v>79</v>
      </c>
      <c r="D26" s="79" t="s">
        <v>80</v>
      </c>
      <c r="E26" s="88"/>
    </row>
    <row r="27" spans="2:5" x14ac:dyDescent="0.2">
      <c r="B27" s="136" t="s">
        <v>84</v>
      </c>
      <c r="C27" s="81" t="s">
        <v>59</v>
      </c>
      <c r="D27" s="89" t="s">
        <v>195</v>
      </c>
      <c r="E27" s="81"/>
    </row>
    <row r="28" spans="2:5" x14ac:dyDescent="0.2">
      <c r="B28" s="136"/>
      <c r="C28" s="81" t="s">
        <v>60</v>
      </c>
      <c r="D28" s="89" t="s">
        <v>196</v>
      </c>
      <c r="E28" s="81" t="s">
        <v>88</v>
      </c>
    </row>
    <row r="29" spans="2:5" x14ac:dyDescent="0.2">
      <c r="B29" s="136"/>
      <c r="C29" s="81" t="s">
        <v>61</v>
      </c>
      <c r="D29" s="89" t="s">
        <v>197</v>
      </c>
      <c r="E29" s="81" t="s">
        <v>89</v>
      </c>
    </row>
    <row r="30" spans="2:5" x14ac:dyDescent="0.2">
      <c r="B30" s="136"/>
      <c r="C30" s="81" t="s">
        <v>92</v>
      </c>
      <c r="D30" s="90" t="s">
        <v>93</v>
      </c>
      <c r="E30" s="81" t="s">
        <v>94</v>
      </c>
    </row>
    <row r="31" spans="2:5" ht="27.75" x14ac:dyDescent="0.2">
      <c r="B31" s="131" t="s">
        <v>98</v>
      </c>
      <c r="C31" s="83" t="s">
        <v>99</v>
      </c>
      <c r="D31" s="84" t="s">
        <v>227</v>
      </c>
      <c r="E31" s="84" t="s">
        <v>226</v>
      </c>
    </row>
    <row r="32" spans="2:5" ht="41.25" x14ac:dyDescent="0.2">
      <c r="B32" s="131"/>
      <c r="C32" s="83" t="s">
        <v>100</v>
      </c>
      <c r="D32" s="84" t="s">
        <v>224</v>
      </c>
      <c r="E32" s="84" t="s">
        <v>225</v>
      </c>
    </row>
    <row r="33" spans="2:5" ht="27.75" x14ac:dyDescent="0.2">
      <c r="B33" s="131"/>
      <c r="C33" s="83" t="s">
        <v>101</v>
      </c>
      <c r="D33" s="84" t="s">
        <v>228</v>
      </c>
      <c r="E33" s="84" t="s">
        <v>102</v>
      </c>
    </row>
    <row r="34" spans="2:5" x14ac:dyDescent="0.2">
      <c r="B34" s="85" t="s">
        <v>103</v>
      </c>
      <c r="C34" s="86" t="s">
        <v>104</v>
      </c>
      <c r="D34" s="86" t="s">
        <v>246</v>
      </c>
      <c r="E34" s="87"/>
    </row>
    <row r="35" spans="2:5" x14ac:dyDescent="0.2">
      <c r="B35" s="27"/>
      <c r="C35" s="27"/>
      <c r="D35" s="27"/>
      <c r="E35" s="27"/>
    </row>
    <row r="36" spans="2:5" x14ac:dyDescent="0.2">
      <c r="B36" s="134" t="s">
        <v>198</v>
      </c>
      <c r="C36" s="134"/>
      <c r="D36" s="134"/>
      <c r="E36" s="78" t="s">
        <v>64</v>
      </c>
    </row>
    <row r="37" spans="2:5" x14ac:dyDescent="0.2">
      <c r="B37" s="132" t="s">
        <v>69</v>
      </c>
      <c r="C37" s="79" t="s">
        <v>71</v>
      </c>
      <c r="D37" s="91" t="s">
        <v>72</v>
      </c>
      <c r="E37" s="88"/>
    </row>
    <row r="38" spans="2:5" x14ac:dyDescent="0.2">
      <c r="B38" s="132"/>
      <c r="C38" s="79" t="s">
        <v>76</v>
      </c>
      <c r="D38" s="91" t="s">
        <v>77</v>
      </c>
      <c r="E38" s="88"/>
    </row>
    <row r="39" spans="2:5" x14ac:dyDescent="0.2">
      <c r="B39" s="132"/>
      <c r="C39" s="79" t="s">
        <v>81</v>
      </c>
      <c r="D39" s="91" t="s">
        <v>82</v>
      </c>
      <c r="E39" s="88"/>
    </row>
    <row r="40" spans="2:5" x14ac:dyDescent="0.2">
      <c r="B40" s="132"/>
      <c r="C40" s="79" t="s">
        <v>85</v>
      </c>
      <c r="D40" s="91" t="s">
        <v>86</v>
      </c>
      <c r="E40" s="88"/>
    </row>
    <row r="41" spans="2:5" x14ac:dyDescent="0.2">
      <c r="B41" s="133" t="s">
        <v>84</v>
      </c>
      <c r="C41" s="81" t="s">
        <v>59</v>
      </c>
      <c r="D41" s="89" t="s">
        <v>199</v>
      </c>
      <c r="E41" s="81" t="s">
        <v>58</v>
      </c>
    </row>
    <row r="42" spans="2:5" x14ac:dyDescent="0.2">
      <c r="B42" s="133"/>
      <c r="C42" s="81" t="s">
        <v>60</v>
      </c>
      <c r="D42" s="89" t="s">
        <v>200</v>
      </c>
      <c r="E42" s="81" t="s">
        <v>90</v>
      </c>
    </row>
    <row r="43" spans="2:5" x14ac:dyDescent="0.2">
      <c r="B43" s="133"/>
      <c r="C43" s="81" t="s">
        <v>61</v>
      </c>
      <c r="D43" s="89" t="s">
        <v>195</v>
      </c>
      <c r="E43" s="81" t="s">
        <v>63</v>
      </c>
    </row>
    <row r="44" spans="2:5" x14ac:dyDescent="0.2">
      <c r="B44" s="133"/>
      <c r="C44" s="81" t="s">
        <v>92</v>
      </c>
      <c r="D44" s="89" t="s">
        <v>213</v>
      </c>
      <c r="E44" s="81" t="s">
        <v>97</v>
      </c>
    </row>
    <row r="45" spans="2:5" ht="41.25" x14ac:dyDescent="0.2">
      <c r="B45" s="131" t="s">
        <v>98</v>
      </c>
      <c r="C45" s="83" t="s">
        <v>99</v>
      </c>
      <c r="D45" s="84" t="s">
        <v>229</v>
      </c>
      <c r="E45" s="84" t="s">
        <v>233</v>
      </c>
    </row>
    <row r="46" spans="2:5" ht="54.75" x14ac:dyDescent="0.2">
      <c r="B46" s="131"/>
      <c r="C46" s="83" t="s">
        <v>100</v>
      </c>
      <c r="D46" s="84" t="s">
        <v>234</v>
      </c>
      <c r="E46" s="84" t="s">
        <v>230</v>
      </c>
    </row>
    <row r="47" spans="2:5" ht="41.25" x14ac:dyDescent="0.2">
      <c r="B47" s="131"/>
      <c r="C47" s="83" t="s">
        <v>101</v>
      </c>
      <c r="D47" s="84" t="s">
        <v>231</v>
      </c>
      <c r="E47" s="84" t="s">
        <v>232</v>
      </c>
    </row>
    <row r="48" spans="2:5" x14ac:dyDescent="0.2">
      <c r="B48" s="85" t="s">
        <v>103</v>
      </c>
      <c r="C48" s="86" t="s">
        <v>104</v>
      </c>
      <c r="D48" s="86" t="s">
        <v>250</v>
      </c>
      <c r="E48" s="87"/>
    </row>
    <row r="49" spans="2:5" x14ac:dyDescent="0.2">
      <c r="B49" s="27"/>
      <c r="C49" s="27"/>
      <c r="D49" s="27"/>
      <c r="E49" s="27"/>
    </row>
    <row r="50" spans="2:5" x14ac:dyDescent="0.2">
      <c r="B50" s="134" t="s">
        <v>66</v>
      </c>
      <c r="C50" s="134"/>
      <c r="D50" s="134"/>
      <c r="E50" s="78" t="s">
        <v>64</v>
      </c>
    </row>
    <row r="51" spans="2:5" x14ac:dyDescent="0.2">
      <c r="B51" s="132" t="s">
        <v>69</v>
      </c>
      <c r="C51" s="79" t="s">
        <v>62</v>
      </c>
      <c r="D51" s="91" t="s">
        <v>191</v>
      </c>
      <c r="E51" s="80"/>
    </row>
    <row r="52" spans="2:5" x14ac:dyDescent="0.2">
      <c r="B52" s="132"/>
      <c r="C52" s="79" t="s">
        <v>189</v>
      </c>
      <c r="D52" s="91" t="s">
        <v>192</v>
      </c>
      <c r="E52" s="80"/>
    </row>
    <row r="53" spans="2:5" x14ac:dyDescent="0.2">
      <c r="B53" s="132"/>
      <c r="C53" s="79" t="s">
        <v>190</v>
      </c>
      <c r="D53" s="91" t="s">
        <v>193</v>
      </c>
      <c r="E53" s="80"/>
    </row>
    <row r="54" spans="2:5" x14ac:dyDescent="0.2">
      <c r="B54" s="133" t="s">
        <v>84</v>
      </c>
      <c r="C54" s="92" t="s">
        <v>59</v>
      </c>
      <c r="D54" s="93" t="s">
        <v>201</v>
      </c>
      <c r="E54" s="92"/>
    </row>
    <row r="55" spans="2:5" x14ac:dyDescent="0.2">
      <c r="B55" s="133"/>
      <c r="C55" s="92" t="s">
        <v>60</v>
      </c>
      <c r="D55" s="93" t="s">
        <v>202</v>
      </c>
      <c r="E55" s="92"/>
    </row>
    <row r="56" spans="2:5" x14ac:dyDescent="0.2">
      <c r="B56" s="133"/>
      <c r="C56" s="92" t="s">
        <v>61</v>
      </c>
      <c r="D56" s="93" t="s">
        <v>216</v>
      </c>
      <c r="E56" s="92"/>
    </row>
    <row r="57" spans="2:5" x14ac:dyDescent="0.2">
      <c r="B57" s="133"/>
      <c r="C57" s="92" t="s">
        <v>92</v>
      </c>
      <c r="D57" s="93" t="s">
        <v>215</v>
      </c>
      <c r="E57" s="92"/>
    </row>
    <row r="58" spans="2:5" ht="41.25" x14ac:dyDescent="0.2">
      <c r="B58" s="131" t="s">
        <v>98</v>
      </c>
      <c r="C58" s="84" t="s">
        <v>99</v>
      </c>
      <c r="D58" s="84" t="s">
        <v>235</v>
      </c>
      <c r="E58" s="84" t="s">
        <v>236</v>
      </c>
    </row>
    <row r="59" spans="2:5" ht="54.75" x14ac:dyDescent="0.2">
      <c r="B59" s="131"/>
      <c r="C59" s="84" t="s">
        <v>100</v>
      </c>
      <c r="D59" s="84" t="s">
        <v>237</v>
      </c>
      <c r="E59" s="84" t="s">
        <v>240</v>
      </c>
    </row>
    <row r="60" spans="2:5" ht="41.25" x14ac:dyDescent="0.2">
      <c r="B60" s="131"/>
      <c r="C60" s="84" t="s">
        <v>101</v>
      </c>
      <c r="D60" s="84" t="s">
        <v>238</v>
      </c>
      <c r="E60" s="84" t="s">
        <v>239</v>
      </c>
    </row>
    <row r="61" spans="2:5" x14ac:dyDescent="0.2">
      <c r="B61" s="85" t="s">
        <v>103</v>
      </c>
      <c r="C61" s="94" t="s">
        <v>104</v>
      </c>
      <c r="D61" s="94" t="s">
        <v>247</v>
      </c>
      <c r="E61" s="87"/>
    </row>
  </sheetData>
  <mergeCells count="17">
    <mergeCell ref="B11:B13"/>
    <mergeCell ref="B18:B20"/>
    <mergeCell ref="B36:D36"/>
    <mergeCell ref="B54:B57"/>
    <mergeCell ref="B3:B7"/>
    <mergeCell ref="B10:D10"/>
    <mergeCell ref="B27:B30"/>
    <mergeCell ref="B24:B26"/>
    <mergeCell ref="B31:B33"/>
    <mergeCell ref="B23:D23"/>
    <mergeCell ref="B14:B17"/>
    <mergeCell ref="B58:B60"/>
    <mergeCell ref="B37:B40"/>
    <mergeCell ref="B41:B44"/>
    <mergeCell ref="B50:D50"/>
    <mergeCell ref="B51:B53"/>
    <mergeCell ref="B45:B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BA0F-F002-4796-9A0E-E72A26992390}">
  <dimension ref="A1:S49"/>
  <sheetViews>
    <sheetView topLeftCell="P1" workbookViewId="0">
      <selection activeCell="L23" sqref="L23"/>
    </sheetView>
  </sheetViews>
  <sheetFormatPr defaultColWidth="8.875" defaultRowHeight="15" x14ac:dyDescent="0.2"/>
  <cols>
    <col min="2" max="2" width="12.9140625" bestFit="1" customWidth="1"/>
    <col min="3" max="3" width="9.4140625" bestFit="1" customWidth="1"/>
    <col min="4" max="4" width="20.17578125" bestFit="1" customWidth="1"/>
    <col min="5" max="6" width="12.10546875" bestFit="1" customWidth="1"/>
    <col min="7" max="7" width="27.7109375" bestFit="1" customWidth="1"/>
    <col min="8" max="8" width="24.6171875" bestFit="1" customWidth="1"/>
    <col min="9" max="9" width="16.41015625" bestFit="1" customWidth="1"/>
    <col min="10" max="10" width="14.796875" bestFit="1" customWidth="1"/>
    <col min="11" max="11" width="15.73828125" bestFit="1" customWidth="1"/>
    <col min="12" max="12" width="34.03125" bestFit="1" customWidth="1"/>
    <col min="13" max="13" width="16.54296875" bestFit="1" customWidth="1"/>
    <col min="14" max="15" width="15.19921875" bestFit="1" customWidth="1"/>
    <col min="16" max="16" width="25.2890625" bestFit="1" customWidth="1"/>
    <col min="17" max="18" width="29.45703125" bestFit="1" customWidth="1"/>
  </cols>
  <sheetData>
    <row r="1" spans="1:19" x14ac:dyDescent="0.2">
      <c r="A1" s="16"/>
      <c r="B1" s="16"/>
      <c r="C1" s="16"/>
      <c r="D1" s="16"/>
      <c r="E1" s="40"/>
      <c r="F1" s="40"/>
      <c r="G1" s="40"/>
      <c r="H1" s="40"/>
      <c r="I1" s="40"/>
      <c r="J1" s="40"/>
      <c r="K1" s="40"/>
      <c r="L1" s="40"/>
      <c r="M1" s="40"/>
      <c r="N1" s="16"/>
    </row>
    <row r="2" spans="1:19" ht="27.75" x14ac:dyDescent="0.2">
      <c r="A2" s="16"/>
      <c r="B2" s="46" t="s">
        <v>176</v>
      </c>
      <c r="C2" s="103" t="s">
        <v>176</v>
      </c>
      <c r="D2" s="104" t="s">
        <v>177</v>
      </c>
      <c r="E2" s="105" t="s">
        <v>178</v>
      </c>
      <c r="F2" s="106" t="s">
        <v>179</v>
      </c>
      <c r="G2" s="106" t="s">
        <v>180</v>
      </c>
      <c r="H2" s="106" t="s">
        <v>181</v>
      </c>
      <c r="I2" s="106" t="s">
        <v>182</v>
      </c>
      <c r="J2" s="106" t="s">
        <v>183</v>
      </c>
      <c r="K2" s="106" t="s">
        <v>184</v>
      </c>
      <c r="L2" s="106" t="s">
        <v>185</v>
      </c>
      <c r="M2" s="99" t="s">
        <v>186</v>
      </c>
      <c r="N2" s="107" t="s">
        <v>187</v>
      </c>
      <c r="O2" s="108" t="s">
        <v>243</v>
      </c>
      <c r="P2" s="108" t="s">
        <v>244</v>
      </c>
      <c r="Q2" s="108" t="s">
        <v>241</v>
      </c>
      <c r="R2" s="108" t="s">
        <v>242</v>
      </c>
      <c r="S2" s="109"/>
    </row>
    <row r="3" spans="1:19" x14ac:dyDescent="0.2">
      <c r="A3" s="16"/>
      <c r="B3" s="110" t="s">
        <v>176</v>
      </c>
      <c r="C3" s="111">
        <v>2026</v>
      </c>
      <c r="D3" s="102">
        <v>656600000</v>
      </c>
      <c r="E3" s="75">
        <v>7.7146999999999993E-2</v>
      </c>
      <c r="F3" s="75">
        <v>0.157858</v>
      </c>
      <c r="G3" s="96">
        <f>D3*0.6</f>
        <v>393960000</v>
      </c>
      <c r="H3" s="75">
        <f>D3*0.4</f>
        <v>262640000</v>
      </c>
      <c r="I3" s="96">
        <f>G3*(1+E3)</f>
        <v>424352832.12</v>
      </c>
      <c r="J3" s="96">
        <f>H3*F3</f>
        <v>41459825.119999997</v>
      </c>
      <c r="K3" s="96">
        <f>G3*'[1]Доходность акций'!$H$14*0.87</f>
        <v>30662671.082399998</v>
      </c>
      <c r="L3" s="75">
        <f>SUM(H3:K3)</f>
        <v>759115328.32239997</v>
      </c>
      <c r="M3" s="120">
        <v>281400000</v>
      </c>
      <c r="N3" s="121">
        <v>48000000</v>
      </c>
      <c r="O3" s="75">
        <f>0.04*L3</f>
        <v>30364613.132895999</v>
      </c>
      <c r="P3" s="75"/>
      <c r="Q3" s="75">
        <f>O3-P3</f>
        <v>30364613.132895999</v>
      </c>
      <c r="R3" s="75">
        <f>Q3*1.16</f>
        <v>35222951.234159358</v>
      </c>
      <c r="S3" s="109"/>
    </row>
    <row r="4" spans="1:19" x14ac:dyDescent="0.2">
      <c r="A4" s="16"/>
      <c r="B4" s="110" t="s">
        <v>176</v>
      </c>
      <c r="C4" s="111">
        <v>2027</v>
      </c>
      <c r="D4" s="46">
        <f>L3-(O3+P3)</f>
        <v>728750715.18950403</v>
      </c>
      <c r="E4" s="75">
        <v>0.37306600000000001</v>
      </c>
      <c r="F4" s="114">
        <v>0.111508</v>
      </c>
      <c r="G4" s="96">
        <f>D4*0.6</f>
        <v>437250429.11370242</v>
      </c>
      <c r="H4" s="75">
        <f>D4*0.4</f>
        <v>291500286.07580161</v>
      </c>
      <c r="I4" s="96">
        <f t="shared" ref="I4:I23" si="0">G4*(1+E4)</f>
        <v>600373697.70143497</v>
      </c>
      <c r="J4" s="96">
        <f t="shared" ref="J4:J23" si="1">H4*F4</f>
        <v>32504613.899740484</v>
      </c>
      <c r="K4" s="96">
        <f>G4*'[1]Доходность акций'!$H$14*0.87</f>
        <v>34032049.163751937</v>
      </c>
      <c r="L4" s="75">
        <f t="shared" ref="L4:L22" si="2">SUM(H4:K4)</f>
        <v>958410646.840729</v>
      </c>
      <c r="M4" s="75">
        <f>M3-N3</f>
        <v>233400000</v>
      </c>
      <c r="N4" s="100">
        <f>$N$3*(1+$C$25)^1</f>
        <v>51220800</v>
      </c>
      <c r="O4" s="75">
        <f>0.04*L4</f>
        <v>38336425.87362916</v>
      </c>
      <c r="P4" s="75"/>
      <c r="Q4" s="75">
        <f t="shared" ref="Q4:Q23" si="3">O4-P4</f>
        <v>38336425.87362916</v>
      </c>
      <c r="R4" s="75">
        <f>(R3+Q4)*1.16</f>
        <v>85328877.445034668</v>
      </c>
      <c r="S4" s="116">
        <v>1</v>
      </c>
    </row>
    <row r="5" spans="1:19" x14ac:dyDescent="0.2">
      <c r="A5" s="16"/>
      <c r="B5" s="110" t="s">
        <v>176</v>
      </c>
      <c r="C5" s="111">
        <v>2028</v>
      </c>
      <c r="D5" s="46">
        <f t="shared" ref="D5:D23" si="4">L4-O4</f>
        <v>920074220.96709979</v>
      </c>
      <c r="E5" s="75">
        <v>0.17365800000000001</v>
      </c>
      <c r="F5" s="75">
        <v>0.11923300000000001</v>
      </c>
      <c r="G5" s="96">
        <f>D5*0.6</f>
        <v>552044532.5802598</v>
      </c>
      <c r="H5" s="75">
        <f>D5*0.4</f>
        <v>368029688.38683993</v>
      </c>
      <c r="I5" s="96">
        <f t="shared" si="0"/>
        <v>647911482.01908267</v>
      </c>
      <c r="J5" s="96">
        <f t="shared" si="1"/>
        <v>43881283.835428089</v>
      </c>
      <c r="K5" s="96">
        <f>G5*'[1]Доходность акций'!$H$14*0.87</f>
        <v>42966696.93711482</v>
      </c>
      <c r="L5" s="75">
        <f t="shared" si="2"/>
        <v>1102789151.1784656</v>
      </c>
      <c r="M5" s="75">
        <f>M4-N4</f>
        <v>182179200</v>
      </c>
      <c r="N5" s="100">
        <f>$N$3*(1+$C$25)^2</f>
        <v>54657715.679999992</v>
      </c>
      <c r="O5" s="75">
        <f>0.04*L5</f>
        <v>44111566.047138624</v>
      </c>
      <c r="P5" s="75"/>
      <c r="Q5" s="75">
        <f t="shared" si="3"/>
        <v>44111566.047138624</v>
      </c>
      <c r="R5" s="75">
        <f t="shared" ref="R5:R23" si="5">(R4+Q5)*1.16</f>
        <v>150150914.450921</v>
      </c>
      <c r="S5" s="116">
        <v>2</v>
      </c>
    </row>
    <row r="6" spans="1:19" x14ac:dyDescent="0.2">
      <c r="A6" s="16"/>
      <c r="B6" s="110" t="s">
        <v>176</v>
      </c>
      <c r="C6" s="111">
        <v>2029</v>
      </c>
      <c r="D6" s="46">
        <f t="shared" si="4"/>
        <v>1058677585.131327</v>
      </c>
      <c r="E6" s="75">
        <v>0.17365800000000001</v>
      </c>
      <c r="F6" s="75">
        <f>F5</f>
        <v>0.11923300000000001</v>
      </c>
      <c r="G6" s="96">
        <f>D6*0.6</f>
        <v>635206551.07879615</v>
      </c>
      <c r="H6" s="75">
        <f>D6*0.4</f>
        <v>423471034.05253083</v>
      </c>
      <c r="I6" s="96">
        <f t="shared" si="0"/>
        <v>745515250.32603776</v>
      </c>
      <c r="J6" s="96">
        <f t="shared" si="1"/>
        <v>50491721.803185411</v>
      </c>
      <c r="K6" s="96">
        <f>G6*'[1]Доходность акций'!$H$14*0.87</f>
        <v>49439358.171171784</v>
      </c>
      <c r="L6" s="75">
        <f t="shared" si="2"/>
        <v>1268917364.3529258</v>
      </c>
      <c r="M6" s="75">
        <f t="shared" ref="M6" si="6">M5-N5</f>
        <v>127521484.32000001</v>
      </c>
      <c r="N6" s="100">
        <f>$N$3*(1+$C$25)^3</f>
        <v>58325248.402127989</v>
      </c>
      <c r="O6" s="75">
        <f>0.04*L6</f>
        <v>50756694.574117035</v>
      </c>
      <c r="P6" s="75"/>
      <c r="Q6" s="75">
        <f t="shared" si="3"/>
        <v>50756694.574117035</v>
      </c>
      <c r="R6" s="75">
        <f t="shared" si="5"/>
        <v>233052826.46904409</v>
      </c>
      <c r="S6" s="116">
        <v>3</v>
      </c>
    </row>
    <row r="7" spans="1:19" x14ac:dyDescent="0.2">
      <c r="A7" s="16"/>
      <c r="B7" s="110" t="s">
        <v>176</v>
      </c>
      <c r="C7" s="111">
        <v>2030</v>
      </c>
      <c r="D7" s="46">
        <f t="shared" si="4"/>
        <v>1218160669.7788088</v>
      </c>
      <c r="E7" s="75">
        <v>-4.7482999999999997E-2</v>
      </c>
      <c r="F7" s="75">
        <f>F5</f>
        <v>0.11923300000000001</v>
      </c>
      <c r="G7" s="96">
        <f>D7*0.6</f>
        <v>730896401.86728525</v>
      </c>
      <c r="H7" s="75">
        <f>D7*0.4</f>
        <v>487264267.91152358</v>
      </c>
      <c r="I7" s="96">
        <f t="shared" si="0"/>
        <v>696191248.01742101</v>
      </c>
      <c r="J7" s="96">
        <f t="shared" si="1"/>
        <v>58097980.455894694</v>
      </c>
      <c r="K7" s="96">
        <f>G7*'[1]Доходность акций'!$H$14*0.87</f>
        <v>56887084.896350421</v>
      </c>
      <c r="L7" s="75">
        <f t="shared" si="2"/>
        <v>1298440581.2811897</v>
      </c>
      <c r="M7" s="75">
        <f>M6-N6</f>
        <v>69196235.917872012</v>
      </c>
      <c r="N7" s="100">
        <f>$N$3*(1+$C$25)^4</f>
        <v>62238872.569910772</v>
      </c>
      <c r="O7" s="75">
        <f>0.04*L7</f>
        <v>51937623.251247585</v>
      </c>
      <c r="P7" s="75"/>
      <c r="Q7" s="75">
        <f t="shared" si="3"/>
        <v>51937623.251247585</v>
      </c>
      <c r="R7" s="75">
        <f t="shared" si="5"/>
        <v>330588921.6755383</v>
      </c>
      <c r="S7" s="116">
        <v>4</v>
      </c>
    </row>
    <row r="8" spans="1:19" x14ac:dyDescent="0.2">
      <c r="A8" s="16"/>
      <c r="B8" s="110" t="s">
        <v>176</v>
      </c>
      <c r="C8" s="111">
        <v>2031</v>
      </c>
      <c r="D8" s="46">
        <f t="shared" si="4"/>
        <v>1246502958.029942</v>
      </c>
      <c r="E8" s="98">
        <v>0.52509399999999995</v>
      </c>
      <c r="F8" s="98">
        <f>F5</f>
        <v>0.11923300000000001</v>
      </c>
      <c r="G8" s="97">
        <f>D8*0.6</f>
        <v>747901774.81796515</v>
      </c>
      <c r="H8" s="98">
        <f>D8*0.4</f>
        <v>498601183.21197683</v>
      </c>
      <c r="I8" s="97">
        <f t="shared" si="0"/>
        <v>1140620509.3642297</v>
      </c>
      <c r="J8" s="97">
        <f>H8*F8</f>
        <v>59449714.877913639</v>
      </c>
      <c r="K8" s="97">
        <f>G8*'[1]Доходность акций'!$H$14*0.87</f>
        <v>58210646.063525364</v>
      </c>
      <c r="L8" s="98">
        <f>SUM(H8:K8)</f>
        <v>1756882053.5176456</v>
      </c>
      <c r="M8" s="75">
        <f>M7-N7</f>
        <v>6957363.3479612395</v>
      </c>
      <c r="N8" s="100">
        <f>$N$3*(1+$C$25)^5</f>
        <v>66415100.919351786</v>
      </c>
      <c r="O8" s="75">
        <f>0.04*L8</f>
        <v>70275282.140705824</v>
      </c>
      <c r="P8" s="75"/>
      <c r="Q8" s="75">
        <f>O8-N8</f>
        <v>3860181.2213540375</v>
      </c>
      <c r="R8" s="75">
        <f t="shared" si="5"/>
        <v>387960959.36039507</v>
      </c>
      <c r="S8" s="116">
        <v>5</v>
      </c>
    </row>
    <row r="9" spans="1:19" x14ac:dyDescent="0.2">
      <c r="A9" s="16"/>
      <c r="B9" s="110" t="s">
        <v>176</v>
      </c>
      <c r="C9" s="111">
        <v>2032</v>
      </c>
      <c r="D9" s="46">
        <f t="shared" si="4"/>
        <v>1686606771.3769398</v>
      </c>
      <c r="E9" s="75">
        <v>7.7146999999999993E-2</v>
      </c>
      <c r="F9" s="75">
        <f>F5</f>
        <v>0.11923300000000001</v>
      </c>
      <c r="G9" s="96">
        <f>D9*0.6</f>
        <v>1011964062.8261638</v>
      </c>
      <c r="H9" s="75">
        <f>D9*0.4</f>
        <v>674642708.550776</v>
      </c>
      <c r="I9" s="96">
        <f t="shared" si="0"/>
        <v>1090034054.3810139</v>
      </c>
      <c r="J9" s="96">
        <f t="shared" si="1"/>
        <v>80439674.068634674</v>
      </c>
      <c r="K9" s="96">
        <f>G9*'[1]Доходность акций'!$H$14*0.87</f>
        <v>78763126.220042199</v>
      </c>
      <c r="L9" s="75">
        <f>SUM(H9:K9)</f>
        <v>1923879563.2204669</v>
      </c>
      <c r="M9" s="101">
        <v>0</v>
      </c>
      <c r="N9" s="100">
        <f>$N$3*(1+$C$25)^6</f>
        <v>70871554.191040292</v>
      </c>
      <c r="O9" s="75">
        <f>0.04*L9</f>
        <v>76955182.528818682</v>
      </c>
      <c r="P9" s="75"/>
      <c r="Q9" s="75">
        <f t="shared" ref="Q9:Q23" si="7">O9-N9</f>
        <v>6083628.3377783895</v>
      </c>
      <c r="R9" s="75">
        <f t="shared" si="5"/>
        <v>457091721.72988117</v>
      </c>
      <c r="S9" s="116">
        <v>6</v>
      </c>
    </row>
    <row r="10" spans="1:19" x14ac:dyDescent="0.2">
      <c r="A10" s="16"/>
      <c r="B10" s="110" t="s">
        <v>176</v>
      </c>
      <c r="C10" s="111">
        <v>2033</v>
      </c>
      <c r="D10" s="46">
        <f t="shared" si="4"/>
        <v>1846924380.6916482</v>
      </c>
      <c r="E10" s="75">
        <v>0.168714</v>
      </c>
      <c r="F10" s="75">
        <f>F5</f>
        <v>0.11923300000000001</v>
      </c>
      <c r="G10" s="96">
        <f>D10*0.6</f>
        <v>1108154628.414989</v>
      </c>
      <c r="H10" s="75">
        <f>D10*0.4</f>
        <v>738769752.27665937</v>
      </c>
      <c r="I10" s="96">
        <f t="shared" si="0"/>
        <v>1295115828.3933954</v>
      </c>
      <c r="J10" s="96">
        <f t="shared" si="1"/>
        <v>88085733.873202935</v>
      </c>
      <c r="K10" s="96">
        <f>G10*'[1]Доходность акций'!$H$14*0.87</f>
        <v>86249824.549517691</v>
      </c>
      <c r="L10" s="75">
        <f t="shared" si="2"/>
        <v>2208221139.0927758</v>
      </c>
      <c r="M10" s="75"/>
      <c r="N10" s="100">
        <f>$N$3*(1+$C$25)^7</f>
        <v>75627035.477259085</v>
      </c>
      <c r="O10" s="75">
        <f>0.04*L10</f>
        <v>88328845.563711032</v>
      </c>
      <c r="P10" s="75"/>
      <c r="Q10" s="75">
        <f t="shared" si="7"/>
        <v>12701810.086451948</v>
      </c>
      <c r="R10" s="75">
        <f t="shared" si="5"/>
        <v>544960496.90694642</v>
      </c>
      <c r="S10" s="116">
        <v>7</v>
      </c>
    </row>
    <row r="11" spans="1:19" x14ac:dyDescent="0.2">
      <c r="A11" s="16"/>
      <c r="B11" s="110" t="s">
        <v>176</v>
      </c>
      <c r="C11" s="111">
        <v>2034</v>
      </c>
      <c r="D11" s="46">
        <f t="shared" si="4"/>
        <v>2119892293.5290649</v>
      </c>
      <c r="E11" s="75">
        <v>0.52509399999999995</v>
      </c>
      <c r="F11" s="75">
        <f>F5</f>
        <v>0.11923300000000001</v>
      </c>
      <c r="G11" s="96">
        <f>D11*0.6</f>
        <v>1271935376.1174388</v>
      </c>
      <c r="H11" s="75">
        <f>D11*0.4</f>
        <v>847956917.41162598</v>
      </c>
      <c r="I11" s="96">
        <f t="shared" si="0"/>
        <v>1939821010.5044491</v>
      </c>
      <c r="J11" s="96">
        <f t="shared" si="1"/>
        <v>101104447.13374041</v>
      </c>
      <c r="K11" s="96">
        <f>G11*'[1]Доходность акций'!$H$14*0.87</f>
        <v>98997197.877849907</v>
      </c>
      <c r="L11" s="75">
        <f t="shared" si="2"/>
        <v>2987879572.9276657</v>
      </c>
      <c r="M11" s="75"/>
      <c r="N11" s="100">
        <f>$N$3*(1+$C$25)^8</f>
        <v>80701609.557783172</v>
      </c>
      <c r="O11" s="75">
        <f>0.04*L11</f>
        <v>119515182.91710663</v>
      </c>
      <c r="P11" s="75"/>
      <c r="Q11" s="75">
        <f t="shared" si="7"/>
        <v>38813573.359323457</v>
      </c>
      <c r="R11" s="75">
        <f t="shared" si="5"/>
        <v>677177921.50887311</v>
      </c>
      <c r="S11" s="116">
        <v>8</v>
      </c>
    </row>
    <row r="12" spans="1:19" x14ac:dyDescent="0.2">
      <c r="A12" s="16"/>
      <c r="B12" s="110" t="s">
        <v>176</v>
      </c>
      <c r="C12" s="111">
        <v>2035</v>
      </c>
      <c r="D12" s="46">
        <f t="shared" si="4"/>
        <v>2868364390.0105591</v>
      </c>
      <c r="E12" s="75">
        <v>0.37306600000000001</v>
      </c>
      <c r="F12" s="75">
        <f>F5</f>
        <v>0.11923300000000001</v>
      </c>
      <c r="G12" s="96">
        <f>D12*0.6</f>
        <v>1721018634.0063355</v>
      </c>
      <c r="H12" s="75">
        <f>D12*0.4</f>
        <v>1147345756.0042236</v>
      </c>
      <c r="I12" s="96">
        <f t="shared" si="0"/>
        <v>2363072171.7205434</v>
      </c>
      <c r="J12" s="96">
        <f t="shared" si="1"/>
        <v>136801476.5256516</v>
      </c>
      <c r="K12" s="96">
        <f>G12*'[1]Доходность акций'!$H$14*0.87</f>
        <v>133950219.06086303</v>
      </c>
      <c r="L12" s="75">
        <f t="shared" si="2"/>
        <v>3781169623.3112812</v>
      </c>
      <c r="M12" s="75"/>
      <c r="N12" s="100">
        <f>$N$3*(1+$C$25)^9</f>
        <v>86116687.559110403</v>
      </c>
      <c r="O12" s="75">
        <f>0.04*L12</f>
        <v>151246784.93245125</v>
      </c>
      <c r="P12" s="75"/>
      <c r="Q12" s="75">
        <f t="shared" si="7"/>
        <v>65130097.373340845</v>
      </c>
      <c r="R12" s="75">
        <f t="shared" si="5"/>
        <v>861077301.90336812</v>
      </c>
      <c r="S12" s="116">
        <v>9</v>
      </c>
    </row>
    <row r="13" spans="1:19" x14ac:dyDescent="0.2">
      <c r="A13" s="16"/>
      <c r="B13" s="110" t="s">
        <v>176</v>
      </c>
      <c r="C13" s="111">
        <v>2036</v>
      </c>
      <c r="D13" s="46">
        <f t="shared" si="4"/>
        <v>3629922838.37883</v>
      </c>
      <c r="E13" s="75">
        <v>-4.7482999999999997E-2</v>
      </c>
      <c r="F13" s="75">
        <f>F5</f>
        <v>0.11923300000000001</v>
      </c>
      <c r="G13" s="96">
        <f>D13*0.6</f>
        <v>2177953703.027298</v>
      </c>
      <c r="H13" s="75">
        <f>D13*0.4</f>
        <v>1451969135.351532</v>
      </c>
      <c r="I13" s="96">
        <f t="shared" si="0"/>
        <v>2074537927.346453</v>
      </c>
      <c r="J13" s="96">
        <f t="shared" si="1"/>
        <v>173122635.91536921</v>
      </c>
      <c r="K13" s="96">
        <f>G13*'[1]Доходность акций'!$H$14*0.87</f>
        <v>169514361.93679845</v>
      </c>
      <c r="L13" s="75">
        <f t="shared" si="2"/>
        <v>3869144060.5501523</v>
      </c>
      <c r="M13" s="75"/>
      <c r="N13" s="100">
        <f>$N$3*(1+$C$25)^10</f>
        <v>91895117.294326708</v>
      </c>
      <c r="O13" s="75">
        <f>0.04*L13</f>
        <v>154765762.4220061</v>
      </c>
      <c r="P13" s="75"/>
      <c r="Q13" s="75">
        <f t="shared" si="7"/>
        <v>62870645.127679393</v>
      </c>
      <c r="R13" s="75">
        <f t="shared" si="5"/>
        <v>1071779618.556015</v>
      </c>
      <c r="S13" s="116">
        <v>10</v>
      </c>
    </row>
    <row r="14" spans="1:19" x14ac:dyDescent="0.2">
      <c r="A14" s="16"/>
      <c r="B14" s="110" t="s">
        <v>176</v>
      </c>
      <c r="C14" s="111">
        <v>2037</v>
      </c>
      <c r="D14" s="46">
        <f t="shared" si="4"/>
        <v>3714378298.1281462</v>
      </c>
      <c r="E14" s="75">
        <v>7.7146999999999993E-2</v>
      </c>
      <c r="F14" s="75">
        <f>F5</f>
        <v>0.11923300000000001</v>
      </c>
      <c r="G14" s="96">
        <f>D14*0.6</f>
        <v>2228626978.8768878</v>
      </c>
      <c r="H14" s="75">
        <f>D14*0.4</f>
        <v>1485751319.2512586</v>
      </c>
      <c r="I14" s="96">
        <f t="shared" si="0"/>
        <v>2400558864.4163032</v>
      </c>
      <c r="J14" s="96">
        <f t="shared" si="1"/>
        <v>177150587.04828534</v>
      </c>
      <c r="K14" s="96">
        <f>G14*'[1]Доходность акций'!$H$14*0.87</f>
        <v>173458361.30232719</v>
      </c>
      <c r="L14" s="75">
        <f t="shared" si="2"/>
        <v>4236919132.0181742</v>
      </c>
      <c r="M14" s="75"/>
      <c r="N14" s="100">
        <f>$N$3*(1+$C$25)^11</f>
        <v>98061279.664776027</v>
      </c>
      <c r="O14" s="75">
        <f>0.04*L14</f>
        <v>169476765.28072697</v>
      </c>
      <c r="P14" s="75"/>
      <c r="Q14" s="75">
        <f t="shared" si="7"/>
        <v>71415485.615950942</v>
      </c>
      <c r="R14" s="75">
        <f t="shared" si="5"/>
        <v>1326106320.8394806</v>
      </c>
      <c r="S14" s="116">
        <v>11</v>
      </c>
    </row>
    <row r="15" spans="1:19" x14ac:dyDescent="0.2">
      <c r="A15" s="16"/>
      <c r="B15" s="110" t="s">
        <v>176</v>
      </c>
      <c r="C15" s="111">
        <v>2038</v>
      </c>
      <c r="D15" s="46">
        <f t="shared" si="4"/>
        <v>4067442366.7374473</v>
      </c>
      <c r="E15" s="75">
        <v>7.7146999999999993E-2</v>
      </c>
      <c r="F15" s="75">
        <f>F5</f>
        <v>0.11923300000000001</v>
      </c>
      <c r="G15" s="96">
        <f>D15*0.6</f>
        <v>2440465420.0424681</v>
      </c>
      <c r="H15" s="75">
        <f>D15*0.4</f>
        <v>1626976946.694979</v>
      </c>
      <c r="I15" s="96">
        <f t="shared" si="0"/>
        <v>2628740005.8024845</v>
      </c>
      <c r="J15" s="96">
        <f t="shared" si="1"/>
        <v>193989342.28528243</v>
      </c>
      <c r="K15" s="96">
        <f>G15*'[1]Доходность акций'!$H$14*0.87</f>
        <v>189946158.14482012</v>
      </c>
      <c r="L15" s="75">
        <f t="shared" si="2"/>
        <v>4639652452.9275656</v>
      </c>
      <c r="M15" s="75"/>
      <c r="N15" s="100">
        <f>$N$3*(1+$C$25)^12</f>
        <v>104641191.53028251</v>
      </c>
      <c r="O15" s="75">
        <f>0.04*L15</f>
        <v>185586098.11710262</v>
      </c>
      <c r="P15" s="75"/>
      <c r="Q15" s="75">
        <f t="shared" si="7"/>
        <v>80944906.586820111</v>
      </c>
      <c r="R15" s="75">
        <f t="shared" si="5"/>
        <v>1632179423.8145087</v>
      </c>
      <c r="S15" s="116">
        <v>12</v>
      </c>
    </row>
    <row r="16" spans="1:19" x14ac:dyDescent="0.2">
      <c r="A16" s="16"/>
      <c r="B16" s="110" t="s">
        <v>176</v>
      </c>
      <c r="C16" s="111">
        <v>2039</v>
      </c>
      <c r="D16" s="46">
        <f t="shared" si="4"/>
        <v>4454066354.810463</v>
      </c>
      <c r="E16" s="75">
        <v>7.7146999999999993E-2</v>
      </c>
      <c r="F16" s="75">
        <f>F5</f>
        <v>0.11923300000000001</v>
      </c>
      <c r="G16" s="96">
        <f>D16*0.6</f>
        <v>2672439812.8862777</v>
      </c>
      <c r="H16" s="75">
        <f>D16*0.4</f>
        <v>1781626541.9241853</v>
      </c>
      <c r="I16" s="96">
        <f t="shared" si="0"/>
        <v>2878610527.1310158</v>
      </c>
      <c r="J16" s="96">
        <f t="shared" si="1"/>
        <v>212428677.4732464</v>
      </c>
      <c r="K16" s="96">
        <f>G16*'[1]Доходность акций'!$H$14*0.87</f>
        <v>208001175.17017594</v>
      </c>
      <c r="L16" s="75">
        <f t="shared" si="2"/>
        <v>5080666921.6986227</v>
      </c>
      <c r="M16" s="75"/>
      <c r="N16" s="100">
        <f>$N$3*(1+$C$25)^13</f>
        <v>111662615.48196444</v>
      </c>
      <c r="O16" s="75">
        <f>0.04*L16</f>
        <v>203226676.86794493</v>
      </c>
      <c r="P16" s="75"/>
      <c r="Q16" s="75">
        <f t="shared" si="7"/>
        <v>91564061.385980487</v>
      </c>
      <c r="R16" s="75">
        <f t="shared" si="5"/>
        <v>1999542442.8325672</v>
      </c>
      <c r="S16" s="116">
        <v>13</v>
      </c>
    </row>
    <row r="17" spans="1:19" x14ac:dyDescent="0.2">
      <c r="A17" s="16"/>
      <c r="B17" s="115" t="s">
        <v>176</v>
      </c>
      <c r="C17" s="111">
        <v>2040</v>
      </c>
      <c r="D17" s="46">
        <f t="shared" si="4"/>
        <v>4877440244.830678</v>
      </c>
      <c r="E17" s="75">
        <v>7.7146999999999993E-2</v>
      </c>
      <c r="F17" s="75">
        <f>F5</f>
        <v>0.11923300000000001</v>
      </c>
      <c r="G17" s="96">
        <f>D17*0.6</f>
        <v>2926464146.8984065</v>
      </c>
      <c r="H17" s="75">
        <f>D17*0.4</f>
        <v>1950976097.9322712</v>
      </c>
      <c r="I17" s="96">
        <f t="shared" si="0"/>
        <v>3152232076.439178</v>
      </c>
      <c r="J17" s="96">
        <f t="shared" si="1"/>
        <v>232620733.08475852</v>
      </c>
      <c r="K17" s="96">
        <f>G17*'[1]Доходность акций'!$H$14*0.87</f>
        <v>227772381.89354792</v>
      </c>
      <c r="L17" s="75">
        <f t="shared" si="2"/>
        <v>5563601289.3497562</v>
      </c>
      <c r="M17" s="75"/>
      <c r="N17" s="100">
        <f>$N$3*(1+$C$25)^14</f>
        <v>119155176.98080426</v>
      </c>
      <c r="O17" s="75">
        <f>0.04*L17</f>
        <v>222544051.57399026</v>
      </c>
      <c r="P17" s="75"/>
      <c r="Q17" s="75">
        <f t="shared" si="7"/>
        <v>103388874.59318599</v>
      </c>
      <c r="R17" s="75">
        <f t="shared" si="5"/>
        <v>2439400328.2138734</v>
      </c>
      <c r="S17" s="116">
        <v>14</v>
      </c>
    </row>
    <row r="18" spans="1:19" x14ac:dyDescent="0.2">
      <c r="A18" s="16"/>
      <c r="B18" s="115" t="s">
        <v>176</v>
      </c>
      <c r="C18" s="111">
        <v>2041</v>
      </c>
      <c r="D18" s="46">
        <f t="shared" si="4"/>
        <v>5341057237.7757664</v>
      </c>
      <c r="E18" s="75">
        <v>0.37306600000000001</v>
      </c>
      <c r="F18" s="75">
        <f>F5</f>
        <v>0.11923300000000001</v>
      </c>
      <c r="G18" s="96">
        <f>D18*0.6</f>
        <v>3204634342.6654596</v>
      </c>
      <c r="H18" s="75">
        <f>D18*0.4</f>
        <v>2136422895.1103067</v>
      </c>
      <c r="I18" s="96">
        <f t="shared" si="0"/>
        <v>4400174458.3462925</v>
      </c>
      <c r="J18" s="96">
        <f t="shared" si="1"/>
        <v>254732111.05268723</v>
      </c>
      <c r="K18" s="96">
        <f>G18*'[1]Доходность акций'!$H$14*0.87</f>
        <v>249422907.88027745</v>
      </c>
      <c r="L18" s="75">
        <f t="shared" si="2"/>
        <v>7040752372.3895645</v>
      </c>
      <c r="M18" s="75"/>
      <c r="N18" s="100">
        <f>$N$3*(1+$C$25)^15</f>
        <v>127150489.35621622</v>
      </c>
      <c r="O18" s="75">
        <f>0.04*L18</f>
        <v>281630094.89558256</v>
      </c>
      <c r="P18" s="75"/>
      <c r="Q18" s="75">
        <f t="shared" si="7"/>
        <v>154479605.53936633</v>
      </c>
      <c r="R18" s="75">
        <f t="shared" si="5"/>
        <v>3008900723.1537576</v>
      </c>
      <c r="S18" s="116">
        <v>15</v>
      </c>
    </row>
    <row r="19" spans="1:19" x14ac:dyDescent="0.2">
      <c r="A19" s="16"/>
      <c r="B19" s="110" t="s">
        <v>176</v>
      </c>
      <c r="C19" s="111">
        <v>2042</v>
      </c>
      <c r="D19" s="46">
        <f t="shared" si="4"/>
        <v>6759122277.4939823</v>
      </c>
      <c r="E19" s="75">
        <v>0.52509399999999995</v>
      </c>
      <c r="F19" s="75">
        <f>F5</f>
        <v>0.11923300000000001</v>
      </c>
      <c r="G19" s="96">
        <f>D19*0.6</f>
        <v>4055473366.4963894</v>
      </c>
      <c r="H19" s="75">
        <f>D19*0.4</f>
        <v>2703648910.9975929</v>
      </c>
      <c r="I19" s="96">
        <f t="shared" si="0"/>
        <v>6184978098.4034443</v>
      </c>
      <c r="J19" s="96">
        <f t="shared" si="1"/>
        <v>322364170.604976</v>
      </c>
      <c r="K19" s="96">
        <f>G19*'[1]Доходность акций'!$H$14*0.87</f>
        <v>315645359.73274493</v>
      </c>
      <c r="L19" s="75">
        <f t="shared" si="2"/>
        <v>9526636539.7387581</v>
      </c>
      <c r="M19" s="75"/>
      <c r="N19" s="100">
        <f>$N$3*(1+$C$25)^16</f>
        <v>135682287.19201833</v>
      </c>
      <c r="O19" s="75">
        <f>0.04*L19</f>
        <v>381065461.58955032</v>
      </c>
      <c r="P19" s="75"/>
      <c r="Q19" s="75">
        <f t="shared" si="7"/>
        <v>245383174.39753199</v>
      </c>
      <c r="R19" s="75">
        <f t="shared" si="5"/>
        <v>3774969321.1594958</v>
      </c>
      <c r="S19" s="116">
        <v>16</v>
      </c>
    </row>
    <row r="20" spans="1:19" x14ac:dyDescent="0.2">
      <c r="A20" s="16"/>
      <c r="B20" s="110" t="s">
        <v>176</v>
      </c>
      <c r="C20" s="111">
        <v>2043</v>
      </c>
      <c r="D20" s="46">
        <f t="shared" si="4"/>
        <v>9145571078.1492081</v>
      </c>
      <c r="E20" s="75">
        <v>-4.6100000000000002E-2</v>
      </c>
      <c r="F20" s="75">
        <f>F5</f>
        <v>0.11923300000000001</v>
      </c>
      <c r="G20" s="96">
        <f>D20*0.6</f>
        <v>5487342646.8895245</v>
      </c>
      <c r="H20" s="75">
        <f>D20*0.4</f>
        <v>3658228431.2596836</v>
      </c>
      <c r="I20" s="96">
        <f t="shared" si="0"/>
        <v>5234376150.8679171</v>
      </c>
      <c r="J20" s="96">
        <f t="shared" si="1"/>
        <v>436181550.54438585</v>
      </c>
      <c r="K20" s="96">
        <f>G20*'[1]Доходность акций'!$H$14*0.87</f>
        <v>427090523.65214658</v>
      </c>
      <c r="L20" s="75">
        <f t="shared" si="2"/>
        <v>9755876656.3241348</v>
      </c>
      <c r="M20" s="75"/>
      <c r="N20" s="100">
        <f>$N$3*(1+$C$25)^17</f>
        <v>144786568.66260275</v>
      </c>
      <c r="O20" s="75">
        <f>0.04*L20</f>
        <v>390235066.25296539</v>
      </c>
      <c r="P20" s="75"/>
      <c r="Q20" s="75">
        <f t="shared" si="7"/>
        <v>245448497.59036264</v>
      </c>
      <c r="R20" s="75">
        <f t="shared" si="5"/>
        <v>4663684669.749835</v>
      </c>
      <c r="S20" s="116">
        <v>17</v>
      </c>
    </row>
    <row r="21" spans="1:19" x14ac:dyDescent="0.2">
      <c r="A21" s="16"/>
      <c r="B21" s="110" t="s">
        <v>176</v>
      </c>
      <c r="C21" s="111">
        <v>2044</v>
      </c>
      <c r="D21" s="46">
        <f t="shared" si="4"/>
        <v>9365641590.0711689</v>
      </c>
      <c r="E21" s="75">
        <v>0.17365800000000001</v>
      </c>
      <c r="F21" s="75">
        <f>F5</f>
        <v>0.11923300000000001</v>
      </c>
      <c r="G21" s="96">
        <f>D21*0.6</f>
        <v>5619384954.0427008</v>
      </c>
      <c r="H21" s="75">
        <f>D21*0.4</f>
        <v>3746256636.0284677</v>
      </c>
      <c r="I21" s="96">
        <f t="shared" si="0"/>
        <v>6595236106.3918486</v>
      </c>
      <c r="J21" s="96">
        <f t="shared" si="1"/>
        <v>446677417.48358232</v>
      </c>
      <c r="K21" s="96">
        <f>G21*'[1]Доходность акций'!$H$14*0.87</f>
        <v>437367632.57995415</v>
      </c>
      <c r="L21" s="75">
        <f t="shared" si="2"/>
        <v>11225537792.483852</v>
      </c>
      <c r="M21" s="75"/>
      <c r="N21" s="100">
        <f>$N$3*(1+$C$25)^18</f>
        <v>154501747.41986337</v>
      </c>
      <c r="O21" s="75">
        <f>0.04*L21</f>
        <v>449021511.69935411</v>
      </c>
      <c r="P21" s="75"/>
      <c r="Q21" s="75">
        <f t="shared" si="7"/>
        <v>294519764.27949071</v>
      </c>
      <c r="R21" s="75">
        <f t="shared" si="5"/>
        <v>5751517143.4740171</v>
      </c>
      <c r="S21" s="116">
        <v>18</v>
      </c>
    </row>
    <row r="22" spans="1:19" x14ac:dyDescent="0.2">
      <c r="A22" s="16"/>
      <c r="B22" s="110" t="s">
        <v>176</v>
      </c>
      <c r="C22" s="111">
        <v>2045</v>
      </c>
      <c r="D22" s="46">
        <f t="shared" si="4"/>
        <v>10776516280.784498</v>
      </c>
      <c r="E22" s="75">
        <v>0.37306600000000001</v>
      </c>
      <c r="F22" s="75">
        <f>F5</f>
        <v>0.11923300000000001</v>
      </c>
      <c r="G22" s="96">
        <f>D22*0.6</f>
        <v>6465909768.4706984</v>
      </c>
      <c r="H22" s="75">
        <f>D22*0.4</f>
        <v>4310606512.3137999</v>
      </c>
      <c r="I22" s="96">
        <f t="shared" si="0"/>
        <v>8878120862.1549892</v>
      </c>
      <c r="J22" s="96">
        <f t="shared" si="1"/>
        <v>513966546.28271133</v>
      </c>
      <c r="K22" s="96">
        <f>G22*'[1]Доходность акций'!$H$14*0.87</f>
        <v>503254301.14502519</v>
      </c>
      <c r="L22" s="75">
        <f t="shared" si="2"/>
        <v>14205948221.896524</v>
      </c>
      <c r="M22" s="75"/>
      <c r="N22" s="100">
        <f>$N$3*(1+$C$25)^19</f>
        <v>164868814.67173621</v>
      </c>
      <c r="O22" s="75">
        <f>0.04*L22</f>
        <v>568237928.87586093</v>
      </c>
      <c r="P22" s="75"/>
      <c r="Q22" s="75">
        <f t="shared" si="7"/>
        <v>403369114.20412469</v>
      </c>
      <c r="R22" s="75">
        <f t="shared" si="5"/>
        <v>7139668058.9066439</v>
      </c>
      <c r="S22" s="116">
        <v>19</v>
      </c>
    </row>
    <row r="23" spans="1:19" x14ac:dyDescent="0.2">
      <c r="A23" s="16"/>
      <c r="B23" s="110" t="s">
        <v>176</v>
      </c>
      <c r="C23" s="111">
        <v>2046</v>
      </c>
      <c r="D23" s="46">
        <f t="shared" si="4"/>
        <v>13637710293.020664</v>
      </c>
      <c r="E23" s="75">
        <v>0.17365800000000001</v>
      </c>
      <c r="F23" s="75">
        <f>F5</f>
        <v>0.11923300000000001</v>
      </c>
      <c r="G23" s="96">
        <f>D23*0.6</f>
        <v>8182626175.812398</v>
      </c>
      <c r="H23" s="75">
        <f>D23*0.4</f>
        <v>5455084117.2082663</v>
      </c>
      <c r="I23" s="96">
        <f t="shared" si="0"/>
        <v>9603604672.2516289</v>
      </c>
      <c r="J23" s="96">
        <f t="shared" si="1"/>
        <v>650426044.54709327</v>
      </c>
      <c r="K23" s="96">
        <f>G23*'[1]Доходность акций'!$H$14*0.87</f>
        <v>636869669.55825996</v>
      </c>
      <c r="L23" s="75">
        <f>SUM(I23,K23)</f>
        <v>10240474341.809889</v>
      </c>
      <c r="M23" s="75"/>
      <c r="N23" s="100">
        <f>$N$3*(1+$C$25)^20</f>
        <v>175931512.13620973</v>
      </c>
      <c r="O23" s="75">
        <f>0.04*L23</f>
        <v>409618973.67239559</v>
      </c>
      <c r="P23" s="75"/>
      <c r="Q23" s="75">
        <f t="shared" si="7"/>
        <v>233687461.53618586</v>
      </c>
      <c r="R23" s="75">
        <f t="shared" si="5"/>
        <v>8553092403.7136822</v>
      </c>
      <c r="S23" s="116">
        <v>20</v>
      </c>
    </row>
    <row r="24" spans="1:19" x14ac:dyDescent="0.2">
      <c r="A24" s="16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09"/>
      <c r="P24" s="109"/>
      <c r="Q24" s="109"/>
      <c r="R24" s="109"/>
    </row>
    <row r="25" spans="1:19" x14ac:dyDescent="0.2">
      <c r="A25" s="16"/>
      <c r="B25" s="123" t="s">
        <v>61</v>
      </c>
      <c r="C25" s="124">
        <v>6.7100000000000007E-2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09"/>
      <c r="P25" s="109"/>
      <c r="Q25" s="109"/>
      <c r="R25" s="109"/>
    </row>
    <row r="26" spans="1:19" x14ac:dyDescent="0.2">
      <c r="A26" s="16"/>
      <c r="B26" s="123" t="s">
        <v>188</v>
      </c>
      <c r="C26" s="124">
        <v>0.13</v>
      </c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09"/>
      <c r="P26" s="109"/>
      <c r="Q26" s="109"/>
      <c r="R26" s="109"/>
    </row>
    <row r="27" spans="1:19" x14ac:dyDescent="0.2">
      <c r="A27" s="16"/>
      <c r="B27" s="16"/>
      <c r="C27" s="16"/>
      <c r="D27" s="16"/>
      <c r="E27" s="16"/>
      <c r="F27" s="16"/>
      <c r="G27" s="16"/>
      <c r="H27" s="61"/>
      <c r="I27" s="25"/>
      <c r="J27" s="16"/>
      <c r="K27" s="16"/>
      <c r="L27" s="16"/>
      <c r="M27" s="16"/>
      <c r="N27" s="16"/>
    </row>
    <row r="28" spans="1:19" x14ac:dyDescent="0.2">
      <c r="A28" s="16"/>
      <c r="B28" s="16"/>
      <c r="C28" s="16"/>
      <c r="D28" s="16"/>
      <c r="E28" s="16"/>
      <c r="F28" s="61"/>
      <c r="G28" s="16"/>
      <c r="H28" s="61"/>
      <c r="I28" s="25"/>
      <c r="J28" s="25"/>
      <c r="K28" s="16"/>
      <c r="L28" s="16"/>
      <c r="M28" s="16"/>
      <c r="N28" s="16"/>
    </row>
    <row r="29" spans="1:19" x14ac:dyDescent="0.2">
      <c r="F29" s="13"/>
      <c r="H29" s="13"/>
      <c r="I29" s="1"/>
      <c r="J29" s="1"/>
    </row>
    <row r="30" spans="1:19" x14ac:dyDescent="0.2">
      <c r="F30" s="13"/>
      <c r="H30" s="13"/>
      <c r="I30" s="1"/>
      <c r="J30" s="1"/>
    </row>
    <row r="31" spans="1:19" x14ac:dyDescent="0.2">
      <c r="F31" s="13"/>
      <c r="H31" s="13"/>
      <c r="I31" s="1"/>
      <c r="J31" s="1"/>
    </row>
    <row r="32" spans="1:19" x14ac:dyDescent="0.2">
      <c r="F32" s="13"/>
      <c r="H32" s="13"/>
      <c r="I32" s="1"/>
      <c r="J32" s="1"/>
    </row>
    <row r="33" spans="6:10" x14ac:dyDescent="0.2">
      <c r="F33" s="13"/>
      <c r="H33" s="13"/>
      <c r="I33" s="1"/>
      <c r="J33" s="1"/>
    </row>
    <row r="34" spans="6:10" x14ac:dyDescent="0.2">
      <c r="F34" s="13"/>
      <c r="H34" s="13"/>
      <c r="I34" s="1"/>
      <c r="J34" s="1"/>
    </row>
    <row r="35" spans="6:10" x14ac:dyDescent="0.2">
      <c r="H35" s="13"/>
      <c r="I35" s="1"/>
    </row>
    <row r="36" spans="6:10" x14ac:dyDescent="0.2">
      <c r="F36" s="13"/>
      <c r="H36" s="13"/>
      <c r="I36" s="1"/>
      <c r="J36" s="1"/>
    </row>
    <row r="37" spans="6:10" x14ac:dyDescent="0.2">
      <c r="F37" s="13"/>
      <c r="H37" s="13"/>
      <c r="I37" s="1"/>
      <c r="J37" s="1"/>
    </row>
    <row r="38" spans="6:10" x14ac:dyDescent="0.2">
      <c r="F38" s="13"/>
      <c r="H38" s="13"/>
      <c r="I38" s="1"/>
      <c r="J38" s="1"/>
    </row>
    <row r="39" spans="6:10" x14ac:dyDescent="0.2">
      <c r="F39" s="13"/>
      <c r="H39" s="13"/>
      <c r="I39" s="1"/>
      <c r="J39" s="1"/>
    </row>
    <row r="40" spans="6:10" x14ac:dyDescent="0.2">
      <c r="F40" s="13"/>
      <c r="H40" s="13"/>
      <c r="I40" s="1"/>
      <c r="J40" s="1"/>
    </row>
    <row r="41" spans="6:10" x14ac:dyDescent="0.2">
      <c r="F41" s="13"/>
      <c r="H41" s="13"/>
      <c r="I41" s="1"/>
      <c r="J41" s="1"/>
    </row>
    <row r="42" spans="6:10" x14ac:dyDescent="0.2">
      <c r="F42" s="13"/>
      <c r="H42" s="13"/>
      <c r="I42" s="1"/>
      <c r="J42" s="1"/>
    </row>
    <row r="43" spans="6:10" x14ac:dyDescent="0.2">
      <c r="F43" s="13"/>
      <c r="H43" s="14"/>
      <c r="I43" s="1"/>
      <c r="J43" s="1"/>
    </row>
    <row r="44" spans="6:10" x14ac:dyDescent="0.2">
      <c r="F44" s="13"/>
      <c r="H44" s="13"/>
      <c r="I44" s="2"/>
      <c r="J44" s="1"/>
    </row>
    <row r="45" spans="6:10" x14ac:dyDescent="0.2">
      <c r="F45" s="13"/>
      <c r="H45" s="13"/>
      <c r="I45" s="1"/>
      <c r="J45" s="1"/>
    </row>
    <row r="46" spans="6:10" x14ac:dyDescent="0.2">
      <c r="F46" s="13"/>
      <c r="H46" s="13"/>
      <c r="I46" s="1"/>
      <c r="J46" s="1"/>
    </row>
    <row r="47" spans="6:10" x14ac:dyDescent="0.2">
      <c r="F47" s="13"/>
      <c r="H47" s="13"/>
      <c r="I47" s="1"/>
      <c r="J47" s="1"/>
    </row>
    <row r="48" spans="6:10" x14ac:dyDescent="0.2">
      <c r="F48" s="13"/>
      <c r="H48" s="1"/>
      <c r="J48" s="1"/>
    </row>
    <row r="49" spans="6:10" x14ac:dyDescent="0.2">
      <c r="F49" s="13"/>
      <c r="H49" s="1"/>
      <c r="J4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70DE-2318-43D3-B01F-1F8A62EA003A}">
  <dimension ref="A1:S49"/>
  <sheetViews>
    <sheetView topLeftCell="T2" workbookViewId="0">
      <selection activeCell="R20" sqref="R20"/>
    </sheetView>
  </sheetViews>
  <sheetFormatPr defaultColWidth="8.875" defaultRowHeight="15" x14ac:dyDescent="0.2"/>
  <cols>
    <col min="2" max="2" width="13.85546875" customWidth="1"/>
    <col min="3" max="3" width="9.4140625" bestFit="1" customWidth="1"/>
    <col min="4" max="4" width="20.17578125" bestFit="1" customWidth="1"/>
    <col min="5" max="6" width="12.10546875" bestFit="1" customWidth="1"/>
    <col min="7" max="7" width="27.7109375" bestFit="1" customWidth="1"/>
    <col min="8" max="8" width="24.6171875" bestFit="1" customWidth="1"/>
    <col min="9" max="9" width="16.41015625" bestFit="1" customWidth="1"/>
    <col min="10" max="10" width="14.796875" bestFit="1" customWidth="1"/>
    <col min="11" max="11" width="15.73828125" bestFit="1" customWidth="1"/>
    <col min="12" max="12" width="34.03125" bestFit="1" customWidth="1"/>
    <col min="13" max="13" width="16.54296875" bestFit="1" customWidth="1"/>
    <col min="14" max="15" width="15.19921875" bestFit="1" customWidth="1"/>
    <col min="16" max="16" width="25.2890625" bestFit="1" customWidth="1"/>
    <col min="17" max="18" width="29.45703125" bestFit="1" customWidth="1"/>
  </cols>
  <sheetData>
    <row r="1" spans="1:19" x14ac:dyDescent="0.2">
      <c r="A1" s="16"/>
      <c r="B1" s="16"/>
      <c r="C1" s="16"/>
      <c r="D1" s="16"/>
      <c r="E1" s="40"/>
      <c r="F1" s="40"/>
      <c r="G1" s="40"/>
      <c r="H1" s="40"/>
      <c r="I1" s="40"/>
      <c r="J1" s="40"/>
      <c r="K1" s="40"/>
      <c r="L1" s="40"/>
      <c r="M1" s="40"/>
      <c r="N1" s="16"/>
    </row>
    <row r="2" spans="1:19" ht="27.75" x14ac:dyDescent="0.2">
      <c r="A2" s="16"/>
      <c r="B2" s="46" t="s">
        <v>176</v>
      </c>
      <c r="C2" s="103" t="s">
        <v>176</v>
      </c>
      <c r="D2" s="104" t="s">
        <v>177</v>
      </c>
      <c r="E2" s="105" t="s">
        <v>178</v>
      </c>
      <c r="F2" s="106" t="s">
        <v>179</v>
      </c>
      <c r="G2" s="106" t="s">
        <v>180</v>
      </c>
      <c r="H2" s="106" t="s">
        <v>181</v>
      </c>
      <c r="I2" s="106" t="s">
        <v>182</v>
      </c>
      <c r="J2" s="106" t="s">
        <v>183</v>
      </c>
      <c r="K2" s="106" t="s">
        <v>184</v>
      </c>
      <c r="L2" s="106" t="s">
        <v>185</v>
      </c>
      <c r="M2" s="99" t="s">
        <v>186</v>
      </c>
      <c r="N2" s="107" t="s">
        <v>187</v>
      </c>
      <c r="O2" s="108" t="s">
        <v>243</v>
      </c>
      <c r="P2" s="108" t="s">
        <v>244</v>
      </c>
      <c r="Q2" s="108" t="s">
        <v>241</v>
      </c>
      <c r="R2" s="108" t="s">
        <v>242</v>
      </c>
      <c r="S2" s="109"/>
    </row>
    <row r="3" spans="1:19" x14ac:dyDescent="0.2">
      <c r="A3" s="16"/>
      <c r="B3" s="110" t="s">
        <v>176</v>
      </c>
      <c r="C3" s="111">
        <v>2026</v>
      </c>
      <c r="D3" s="102">
        <v>656600000</v>
      </c>
      <c r="E3" s="75">
        <v>7.0405999999999996E-2</v>
      </c>
      <c r="F3" s="75">
        <v>0.1471296</v>
      </c>
      <c r="G3" s="96">
        <f>D3*0.6</f>
        <v>393960000</v>
      </c>
      <c r="H3" s="75">
        <f>D3*0.4</f>
        <v>262640000</v>
      </c>
      <c r="I3" s="96">
        <f>G3*(1+E3)</f>
        <v>421697147.75999999</v>
      </c>
      <c r="J3" s="96">
        <f>H3*F3</f>
        <v>38642118.144000001</v>
      </c>
      <c r="K3" s="96">
        <f>G3*'[1]Доходность акций'!$H$14*0.87</f>
        <v>30662671.082399998</v>
      </c>
      <c r="L3" s="75">
        <f>SUM(H3:K3)</f>
        <v>753641936.98640001</v>
      </c>
      <c r="M3" s="120">
        <v>281400000</v>
      </c>
      <c r="N3" s="121">
        <v>48000000</v>
      </c>
      <c r="O3" s="75">
        <f>0.04*L3</f>
        <v>30145677.479456</v>
      </c>
      <c r="P3" s="75"/>
      <c r="Q3" s="75">
        <f>O3-P3</f>
        <v>30145677.479456</v>
      </c>
      <c r="R3" s="75">
        <f>Q3*1.16</f>
        <v>34968985.876168959</v>
      </c>
      <c r="S3" s="109"/>
    </row>
    <row r="4" spans="1:19" x14ac:dyDescent="0.2">
      <c r="A4" s="16"/>
      <c r="B4" s="110" t="s">
        <v>176</v>
      </c>
      <c r="C4" s="111">
        <v>2027</v>
      </c>
      <c r="D4" s="46">
        <f>L3-(O3+P3)</f>
        <v>723496259.50694406</v>
      </c>
      <c r="E4" s="75">
        <v>0.34046799999999999</v>
      </c>
      <c r="F4" s="114">
        <v>0.1039296</v>
      </c>
      <c r="G4" s="96">
        <f>D4*0.6</f>
        <v>434097755.70416641</v>
      </c>
      <c r="H4" s="75">
        <f>D4*0.4</f>
        <v>289398503.80277765</v>
      </c>
      <c r="I4" s="96">
        <f t="shared" ref="I4:I23" si="0">G4*(1+E4)</f>
        <v>581894150.39325249</v>
      </c>
      <c r="J4" s="96">
        <f t="shared" ref="J4:J23" si="1">H4*F4</f>
        <v>30077070.74082116</v>
      </c>
      <c r="K4" s="96">
        <f>G4*'[1]Доходность акций'!$H$14*0.87</f>
        <v>33786670.476101331</v>
      </c>
      <c r="L4" s="75">
        <f t="shared" ref="L4:L22" si="2">SUM(H4:K4)</f>
        <v>935156395.41295254</v>
      </c>
      <c r="M4" s="75">
        <f>M3-N3</f>
        <v>233400000</v>
      </c>
      <c r="N4" s="100">
        <f>$N$3*(1+$C$25)^1</f>
        <v>52660800</v>
      </c>
      <c r="O4" s="75">
        <f>0.04*L4</f>
        <v>37406255.816518106</v>
      </c>
      <c r="P4" s="75"/>
      <c r="Q4" s="75">
        <f t="shared" ref="Q4:Q23" si="3">O4-P4</f>
        <v>37406255.816518106</v>
      </c>
      <c r="R4" s="75">
        <f>(R3+Q4)*1.16</f>
        <v>83955280.363516986</v>
      </c>
      <c r="S4" s="116">
        <v>1</v>
      </c>
    </row>
    <row r="5" spans="1:19" x14ac:dyDescent="0.2">
      <c r="A5" s="16"/>
      <c r="B5" s="110" t="s">
        <v>176</v>
      </c>
      <c r="C5" s="111">
        <v>2028</v>
      </c>
      <c r="D5" s="46">
        <f t="shared" ref="D5:D23" si="4">L4-(O4+P4)</f>
        <v>897750139.59643447</v>
      </c>
      <c r="E5" s="75">
        <v>0.15848400000000001</v>
      </c>
      <c r="F5" s="75">
        <v>0.11114880000000001</v>
      </c>
      <c r="G5" s="96">
        <f>D5*0.6</f>
        <v>538650083.75786066</v>
      </c>
      <c r="H5" s="75">
        <f>D5*0.4</f>
        <v>359100055.83857381</v>
      </c>
      <c r="I5" s="96">
        <f t="shared" si="0"/>
        <v>624017503.63214147</v>
      </c>
      <c r="J5" s="96">
        <f t="shared" si="1"/>
        <v>39913540.286390476</v>
      </c>
      <c r="K5" s="96">
        <f>G5*'[1]Доходность акций'!$H$14*0.87</f>
        <v>41924181.000036776</v>
      </c>
      <c r="L5" s="75">
        <f t="shared" si="2"/>
        <v>1064955280.7571425</v>
      </c>
      <c r="M5" s="75">
        <f>M4-N4</f>
        <v>180739200</v>
      </c>
      <c r="N5" s="100">
        <f>$N$3*(1+$C$25)^2</f>
        <v>57774163.679999992</v>
      </c>
      <c r="O5" s="75">
        <f>0.04*L5</f>
        <v>42598211.230285704</v>
      </c>
      <c r="P5" s="75"/>
      <c r="Q5" s="75">
        <f t="shared" si="3"/>
        <v>42598211.230285704</v>
      </c>
      <c r="R5" s="75">
        <f t="shared" ref="R5:R23" si="5">(R4+Q5)*1.16</f>
        <v>146802050.24881113</v>
      </c>
      <c r="S5" s="116">
        <v>2</v>
      </c>
    </row>
    <row r="6" spans="1:19" x14ac:dyDescent="0.2">
      <c r="A6" s="16"/>
      <c r="B6" s="110" t="s">
        <v>176</v>
      </c>
      <c r="C6" s="111">
        <v>2029</v>
      </c>
      <c r="D6" s="46">
        <f t="shared" si="4"/>
        <v>1022357069.5268569</v>
      </c>
      <c r="E6" s="75">
        <v>0.16848399999999999</v>
      </c>
      <c r="F6" s="75">
        <f>F5</f>
        <v>0.11114880000000001</v>
      </c>
      <c r="G6" s="96">
        <f>D6*0.6</f>
        <v>613414241.71611416</v>
      </c>
      <c r="H6" s="75">
        <f>D6*0.4</f>
        <v>408942827.8107428</v>
      </c>
      <c r="I6" s="96">
        <f t="shared" si="0"/>
        <v>716764726.81741202</v>
      </c>
      <c r="J6" s="96">
        <f t="shared" si="1"/>
        <v>45453504.579770692</v>
      </c>
      <c r="K6" s="96">
        <f>G6*'[1]Доходность акций'!$H$14*0.87</f>
        <v>47743220.456394091</v>
      </c>
      <c r="L6" s="75">
        <f t="shared" si="2"/>
        <v>1218904279.6643198</v>
      </c>
      <c r="M6" s="75">
        <f t="shared" ref="M6:M7" si="6">M5-N5</f>
        <v>122965036.32000001</v>
      </c>
      <c r="N6" s="100">
        <f>$N$3*(1+$C$25)^3</f>
        <v>63384034.973327987</v>
      </c>
      <c r="O6" s="75">
        <f>0.04*L6</f>
        <v>48756171.18657279</v>
      </c>
      <c r="P6" s="75"/>
      <c r="Q6" s="75">
        <f t="shared" si="3"/>
        <v>48756171.18657279</v>
      </c>
      <c r="R6" s="75">
        <f t="shared" si="5"/>
        <v>226847536.86504534</v>
      </c>
      <c r="S6" s="116">
        <v>3</v>
      </c>
    </row>
    <row r="7" spans="1:19" x14ac:dyDescent="0.2">
      <c r="A7" s="16"/>
      <c r="B7" s="110" t="s">
        <v>176</v>
      </c>
      <c r="C7" s="111">
        <v>2030</v>
      </c>
      <c r="D7" s="46">
        <f t="shared" si="4"/>
        <v>1170148108.477747</v>
      </c>
      <c r="E7" s="75">
        <v>-4.3333999999999998E-2</v>
      </c>
      <c r="F7" s="75">
        <f>F5</f>
        <v>0.11114880000000001</v>
      </c>
      <c r="G7" s="96">
        <f>D7*0.6</f>
        <v>702088865.08664811</v>
      </c>
      <c r="H7" s="75">
        <f>D7*0.4</f>
        <v>468059243.3910988</v>
      </c>
      <c r="I7" s="96">
        <f t="shared" si="0"/>
        <v>671664546.20698333</v>
      </c>
      <c r="J7" s="96">
        <f t="shared" si="1"/>
        <v>52024223.231828563</v>
      </c>
      <c r="K7" s="96">
        <f>G7*'[1]Доходность акций'!$H$14*0.87</f>
        <v>54644938.42209208</v>
      </c>
      <c r="L7" s="75">
        <f t="shared" si="2"/>
        <v>1246392951.2520027</v>
      </c>
      <c r="M7" s="75">
        <f t="shared" si="6"/>
        <v>59581001.346672021</v>
      </c>
      <c r="N7" s="100">
        <f>$N$3*(1+$C$25)^4</f>
        <v>69538624.769238129</v>
      </c>
      <c r="O7" s="75">
        <f>0.04*L7</f>
        <v>49855718.050080113</v>
      </c>
      <c r="P7" s="75"/>
      <c r="Q7" s="75">
        <f>O7-(N7-M7)</f>
        <v>39898094.627514005</v>
      </c>
      <c r="R7" s="75">
        <f t="shared" si="5"/>
        <v>309424932.53136879</v>
      </c>
      <c r="S7" s="116">
        <v>4</v>
      </c>
    </row>
    <row r="8" spans="1:19" x14ac:dyDescent="0.2">
      <c r="A8" s="16"/>
      <c r="B8" s="110" t="s">
        <v>176</v>
      </c>
      <c r="C8" s="111">
        <v>2031</v>
      </c>
      <c r="D8" s="46">
        <f t="shared" si="4"/>
        <v>1196537233.2019227</v>
      </c>
      <c r="E8" s="98">
        <v>0.47921200000000003</v>
      </c>
      <c r="F8" s="98">
        <f>F5</f>
        <v>0.11114880000000001</v>
      </c>
      <c r="G8" s="97">
        <f>D8*0.6</f>
        <v>717922339.92115355</v>
      </c>
      <c r="H8" s="98">
        <f>D8*0.4</f>
        <v>478614893.28076911</v>
      </c>
      <c r="I8" s="97">
        <f t="shared" si="0"/>
        <v>1061959340.2794493</v>
      </c>
      <c r="J8" s="97">
        <f>H8*F8</f>
        <v>53197471.050285555</v>
      </c>
      <c r="K8" s="97">
        <f>G8*'[1]Доходность акций'!$H$14*0.87</f>
        <v>55877288.485402822</v>
      </c>
      <c r="L8" s="98">
        <f>SUM(H8:K8)</f>
        <v>1649648993.0959067</v>
      </c>
      <c r="M8" s="101">
        <v>0</v>
      </c>
      <c r="N8" s="100">
        <f>$N$3*(1+$C$25)^5</f>
        <v>76290825.234331146</v>
      </c>
      <c r="O8" s="75">
        <f>0.04*L8</f>
        <v>65985959.723836273</v>
      </c>
      <c r="P8" s="75">
        <f>N8-O8</f>
        <v>10304865.510494873</v>
      </c>
      <c r="Q8" s="75">
        <v>0</v>
      </c>
      <c r="R8" s="75">
        <f t="shared" si="5"/>
        <v>358932921.73638779</v>
      </c>
      <c r="S8" s="116">
        <v>5</v>
      </c>
    </row>
    <row r="9" spans="1:19" x14ac:dyDescent="0.2">
      <c r="A9" s="16"/>
      <c r="B9" s="110" t="s">
        <v>176</v>
      </c>
      <c r="C9" s="111">
        <v>2032</v>
      </c>
      <c r="D9" s="46">
        <f t="shared" si="4"/>
        <v>1573358167.8615756</v>
      </c>
      <c r="E9" s="75">
        <v>7.0405999999999996E-2</v>
      </c>
      <c r="F9" s="75">
        <f>F5</f>
        <v>0.11114880000000001</v>
      </c>
      <c r="G9" s="96">
        <f>D9*0.6</f>
        <v>944014900.71694529</v>
      </c>
      <c r="H9" s="75">
        <f>D9*0.4</f>
        <v>629343267.14463031</v>
      </c>
      <c r="I9" s="96">
        <f t="shared" si="0"/>
        <v>1010479213.8168225</v>
      </c>
      <c r="J9" s="96">
        <f t="shared" si="1"/>
        <v>69950748.931205094</v>
      </c>
      <c r="K9" s="96">
        <f>G9*'[1]Доходность акций'!$H$14*0.87</f>
        <v>73474511.111707225</v>
      </c>
      <c r="L9" s="75">
        <f>SUM(H9:K9)</f>
        <v>1783247741.0043652</v>
      </c>
      <c r="M9" s="75"/>
      <c r="N9" s="100">
        <f>$N$3*(1+$C$25)^6</f>
        <v>83698664.364584699</v>
      </c>
      <c r="O9" s="75">
        <f>0.04*L9</f>
        <v>71329909.640174612</v>
      </c>
      <c r="P9" s="75">
        <f>N9-O9</f>
        <v>12368754.724410087</v>
      </c>
      <c r="Q9" s="75">
        <v>0</v>
      </c>
      <c r="R9" s="75">
        <f t="shared" si="5"/>
        <v>416362189.21420979</v>
      </c>
      <c r="S9" s="116">
        <v>6</v>
      </c>
    </row>
    <row r="10" spans="1:19" x14ac:dyDescent="0.2">
      <c r="A10" s="16"/>
      <c r="B10" s="110" t="s">
        <v>176</v>
      </c>
      <c r="C10" s="111">
        <v>2033</v>
      </c>
      <c r="D10" s="46">
        <f t="shared" si="4"/>
        <v>1699549076.6397805</v>
      </c>
      <c r="E10" s="75">
        <v>0.153972</v>
      </c>
      <c r="F10" s="75">
        <f>F5</f>
        <v>0.11114880000000001</v>
      </c>
      <c r="G10" s="96">
        <f>D10*0.6</f>
        <v>1019729445.9838682</v>
      </c>
      <c r="H10" s="75">
        <f>D10*0.4</f>
        <v>679819630.65591228</v>
      </c>
      <c r="I10" s="96">
        <f t="shared" si="0"/>
        <v>1176739228.2408965</v>
      </c>
      <c r="J10" s="96">
        <f t="shared" si="1"/>
        <v>75561136.163847864</v>
      </c>
      <c r="K10" s="96">
        <f>G10*'[1]Доходность акций'!$H$14*0.87</f>
        <v>79367521.05604966</v>
      </c>
      <c r="L10" s="75">
        <f t="shared" si="2"/>
        <v>2011487516.1167061</v>
      </c>
      <c r="M10" s="75"/>
      <c r="N10" s="100">
        <f>$N$3*(1+$C$25)^7</f>
        <v>91825804.674385861</v>
      </c>
      <c r="O10" s="75">
        <f>0.04*L10</f>
        <v>80459500.644668251</v>
      </c>
      <c r="P10" s="75">
        <f t="shared" ref="P10:P23" si="7">N10-O10</f>
        <v>11366304.029717609</v>
      </c>
      <c r="Q10" s="75">
        <v>0</v>
      </c>
      <c r="R10" s="75">
        <f t="shared" si="5"/>
        <v>482980139.48848331</v>
      </c>
      <c r="S10" s="116">
        <v>7</v>
      </c>
    </row>
    <row r="11" spans="1:19" x14ac:dyDescent="0.2">
      <c r="A11" s="16"/>
      <c r="B11" s="110" t="s">
        <v>176</v>
      </c>
      <c r="C11" s="111">
        <v>2034</v>
      </c>
      <c r="D11" s="46">
        <f t="shared" si="4"/>
        <v>1919661711.4423203</v>
      </c>
      <c r="E11" s="75">
        <v>0.47921200000000003</v>
      </c>
      <c r="F11" s="75">
        <f>F5</f>
        <v>0.11114880000000001</v>
      </c>
      <c r="G11" s="96">
        <f>D11*0.6</f>
        <v>1151797026.8653922</v>
      </c>
      <c r="H11" s="75">
        <f>D11*0.4</f>
        <v>767864684.57692814</v>
      </c>
      <c r="I11" s="96">
        <f t="shared" si="0"/>
        <v>1703751983.7036104</v>
      </c>
      <c r="J11" s="96">
        <f t="shared" si="1"/>
        <v>85347238.253104076</v>
      </c>
      <c r="K11" s="96">
        <f>G11*'[1]Доходность акций'!$H$14*0.87</f>
        <v>89646597.087165579</v>
      </c>
      <c r="L11" s="75">
        <f t="shared" si="2"/>
        <v>2646610503.6208081</v>
      </c>
      <c r="M11" s="75"/>
      <c r="N11" s="100">
        <f>$N$3*(1+$C$25)^8</f>
        <v>100742090.30826874</v>
      </c>
      <c r="O11" s="75">
        <f>0.04*L11</f>
        <v>105864420.14483233</v>
      </c>
      <c r="P11" s="75">
        <v>0</v>
      </c>
      <c r="Q11" s="75">
        <f>O11-N11</f>
        <v>5122329.8365635872</v>
      </c>
      <c r="R11" s="75">
        <f t="shared" si="5"/>
        <v>566198864.41705441</v>
      </c>
      <c r="S11" s="116">
        <v>8</v>
      </c>
    </row>
    <row r="12" spans="1:19" x14ac:dyDescent="0.2">
      <c r="A12" s="16"/>
      <c r="B12" s="110" t="s">
        <v>176</v>
      </c>
      <c r="C12" s="111">
        <v>2035</v>
      </c>
      <c r="D12" s="46">
        <f t="shared" si="4"/>
        <v>2540746083.475976</v>
      </c>
      <c r="E12" s="75">
        <v>0.34046799999999999</v>
      </c>
      <c r="F12" s="75">
        <f>F5</f>
        <v>0.11114880000000001</v>
      </c>
      <c r="G12" s="96">
        <f>D12*0.6</f>
        <v>1524447650.0855856</v>
      </c>
      <c r="H12" s="75">
        <f>D12*0.4</f>
        <v>1016298433.3903904</v>
      </c>
      <c r="I12" s="96">
        <f t="shared" si="0"/>
        <v>2043473292.6149247</v>
      </c>
      <c r="J12" s="96">
        <f t="shared" si="1"/>
        <v>112960351.31322183</v>
      </c>
      <c r="K12" s="96">
        <f>G12*'[1]Доходность акций'!$H$14*0.87</f>
        <v>118650718.03460227</v>
      </c>
      <c r="L12" s="75">
        <f t="shared" si="2"/>
        <v>3291382795.3531389</v>
      </c>
      <c r="M12" s="75"/>
      <c r="N12" s="100">
        <f>$N$3*(1+$C$25)^9</f>
        <v>110524147.27720162</v>
      </c>
      <c r="O12" s="75">
        <f>0.04*L12</f>
        <v>131655311.81412555</v>
      </c>
      <c r="P12" s="75">
        <v>0</v>
      </c>
      <c r="Q12" s="75">
        <f t="shared" ref="Q12:Q23" si="8">O12-N12</f>
        <v>21131164.53692393</v>
      </c>
      <c r="R12" s="75">
        <f t="shared" si="5"/>
        <v>681302833.58661473</v>
      </c>
      <c r="S12" s="116">
        <v>9</v>
      </c>
    </row>
    <row r="13" spans="1:19" x14ac:dyDescent="0.2">
      <c r="A13" s="16"/>
      <c r="B13" s="110" t="s">
        <v>176</v>
      </c>
      <c r="C13" s="111">
        <v>2036</v>
      </c>
      <c r="D13" s="46">
        <f t="shared" si="4"/>
        <v>3159727483.5390134</v>
      </c>
      <c r="E13" s="75">
        <v>-4.3333999999999998E-2</v>
      </c>
      <c r="F13" s="75">
        <f>F5</f>
        <v>0.11114880000000001</v>
      </c>
      <c r="G13" s="96">
        <f>D13*0.6</f>
        <v>1895836490.1234081</v>
      </c>
      <c r="H13" s="75">
        <f>D13*0.4</f>
        <v>1263890993.4156053</v>
      </c>
      <c r="I13" s="96">
        <f t="shared" si="0"/>
        <v>1813682311.6604004</v>
      </c>
      <c r="J13" s="96">
        <f t="shared" si="1"/>
        <v>140479967.24895245</v>
      </c>
      <c r="K13" s="96">
        <f>G13*'[1]Доходность акций'!$H$14*0.87</f>
        <v>147556631.94909567</v>
      </c>
      <c r="L13" s="75">
        <f t="shared" si="2"/>
        <v>3365609904.2740541</v>
      </c>
      <c r="M13" s="75"/>
      <c r="N13" s="100">
        <f>$N$3*(1+$C$25)^10</f>
        <v>121256041.97781789</v>
      </c>
      <c r="O13" s="75">
        <f>0.04*L13</f>
        <v>134624396.17096215</v>
      </c>
      <c r="P13" s="75">
        <v>0</v>
      </c>
      <c r="Q13" s="75">
        <f t="shared" si="8"/>
        <v>13368354.193144262</v>
      </c>
      <c r="R13" s="75">
        <f t="shared" si="5"/>
        <v>805818577.82452035</v>
      </c>
      <c r="S13" s="116">
        <v>10</v>
      </c>
    </row>
    <row r="14" spans="1:19" x14ac:dyDescent="0.2">
      <c r="A14" s="16"/>
      <c r="B14" s="110" t="s">
        <v>176</v>
      </c>
      <c r="C14" s="111">
        <v>2037</v>
      </c>
      <c r="D14" s="46">
        <f t="shared" si="4"/>
        <v>3230985508.1030917</v>
      </c>
      <c r="E14" s="75">
        <v>7.0405999999999996E-2</v>
      </c>
      <c r="F14" s="75">
        <f>F5</f>
        <v>0.11114880000000001</v>
      </c>
      <c r="G14" s="96">
        <f>D14*0.6</f>
        <v>1938591304.861855</v>
      </c>
      <c r="H14" s="75">
        <f>D14*0.4</f>
        <v>1292394203.2412367</v>
      </c>
      <c r="I14" s="96">
        <f t="shared" si="0"/>
        <v>2075079764.2719588</v>
      </c>
      <c r="J14" s="96">
        <f t="shared" si="1"/>
        <v>143648064.81721959</v>
      </c>
      <c r="K14" s="96">
        <f>G14*'[1]Доходность акций'!$H$14*0.87</f>
        <v>150884322.1245296</v>
      </c>
      <c r="L14" s="75">
        <f t="shared" si="2"/>
        <v>3662006354.4549446</v>
      </c>
      <c r="M14" s="75"/>
      <c r="N14" s="100">
        <f>$N$3*(1+$C$25)^11</f>
        <v>133030003.65386401</v>
      </c>
      <c r="O14" s="75">
        <f>0.04*L14</f>
        <v>146480254.1781978</v>
      </c>
      <c r="P14" s="75">
        <v>0</v>
      </c>
      <c r="Q14" s="75">
        <f t="shared" si="8"/>
        <v>13450250.52433379</v>
      </c>
      <c r="R14" s="75">
        <f t="shared" si="5"/>
        <v>950351840.88467073</v>
      </c>
      <c r="S14" s="116">
        <v>11</v>
      </c>
    </row>
    <row r="15" spans="1:19" x14ac:dyDescent="0.2">
      <c r="A15" s="16"/>
      <c r="B15" s="110" t="s">
        <v>176</v>
      </c>
      <c r="C15" s="111">
        <v>2038</v>
      </c>
      <c r="D15" s="46">
        <f t="shared" si="4"/>
        <v>3515526100.2767467</v>
      </c>
      <c r="E15" s="75">
        <v>7.0405999999999996E-2</v>
      </c>
      <c r="F15" s="75">
        <f>F5</f>
        <v>0.11114880000000001</v>
      </c>
      <c r="G15" s="96">
        <f>D15*0.6</f>
        <v>2109315660.166048</v>
      </c>
      <c r="H15" s="75">
        <f>D15*0.4</f>
        <v>1406210440.1106987</v>
      </c>
      <c r="I15" s="96">
        <f t="shared" si="0"/>
        <v>2257824138.5356989</v>
      </c>
      <c r="J15" s="96">
        <f t="shared" si="1"/>
        <v>156298602.96577603</v>
      </c>
      <c r="K15" s="96">
        <f>G15*'[1]Доходность акций'!$H$14*0.87</f>
        <v>164172129.90310422</v>
      </c>
      <c r="L15" s="75">
        <f t="shared" si="2"/>
        <v>3984505311.5152779</v>
      </c>
      <c r="M15" s="75"/>
      <c r="N15" s="100">
        <f>$N$3*(1+$C$25)^12</f>
        <v>145947217.00865421</v>
      </c>
      <c r="O15" s="75">
        <f>0.04*L15</f>
        <v>159380212.4606111</v>
      </c>
      <c r="P15" s="75">
        <v>0</v>
      </c>
      <c r="Q15" s="75">
        <f t="shared" si="8"/>
        <v>13432995.451956898</v>
      </c>
      <c r="R15" s="75">
        <f t="shared" si="5"/>
        <v>1117990410.1504879</v>
      </c>
      <c r="S15" s="116">
        <v>12</v>
      </c>
    </row>
    <row r="16" spans="1:19" x14ac:dyDescent="0.2">
      <c r="A16" s="16"/>
      <c r="B16" s="110" t="s">
        <v>176</v>
      </c>
      <c r="C16" s="111">
        <v>2039</v>
      </c>
      <c r="D16" s="46">
        <f t="shared" si="4"/>
        <v>3825125099.0546665</v>
      </c>
      <c r="E16" s="75">
        <v>7.0405999999999996E-2</v>
      </c>
      <c r="F16" s="75">
        <f>F5</f>
        <v>0.11114880000000001</v>
      </c>
      <c r="G16" s="96">
        <f>D16*0.6</f>
        <v>2295075059.4327998</v>
      </c>
      <c r="H16" s="75">
        <f>D16*0.4</f>
        <v>1530050039.6218667</v>
      </c>
      <c r="I16" s="96">
        <f t="shared" si="0"/>
        <v>2456662114.0672255</v>
      </c>
      <c r="J16" s="96">
        <f t="shared" si="1"/>
        <v>170063225.84392294</v>
      </c>
      <c r="K16" s="96">
        <f>G16*'[1]Доходность акций'!$H$14*0.87</f>
        <v>178630144.32127008</v>
      </c>
      <c r="L16" s="75">
        <f t="shared" si="2"/>
        <v>4335405523.8542852</v>
      </c>
      <c r="M16" s="75"/>
      <c r="N16" s="100">
        <f>$N$3*(1+$C$25)^13</f>
        <v>160118691.78019452</v>
      </c>
      <c r="O16" s="75">
        <f>0.04*L16</f>
        <v>173416220.95417142</v>
      </c>
      <c r="P16" s="75">
        <v>0</v>
      </c>
      <c r="Q16" s="75">
        <f t="shared" si="8"/>
        <v>13297529.173976898</v>
      </c>
      <c r="R16" s="75">
        <f t="shared" si="5"/>
        <v>1312294009.616379</v>
      </c>
      <c r="S16" s="116">
        <v>13</v>
      </c>
    </row>
    <row r="17" spans="1:19" x14ac:dyDescent="0.2">
      <c r="A17" s="16"/>
      <c r="B17" s="115" t="s">
        <v>176</v>
      </c>
      <c r="C17" s="111">
        <v>2040</v>
      </c>
      <c r="D17" s="46">
        <f t="shared" si="4"/>
        <v>4161989302.9001141</v>
      </c>
      <c r="E17" s="75">
        <v>7.0405999999999996E-2</v>
      </c>
      <c r="F17" s="75">
        <f>F5</f>
        <v>0.11114880000000001</v>
      </c>
      <c r="G17" s="96">
        <f>D17*0.6</f>
        <v>2497193581.7400684</v>
      </c>
      <c r="H17" s="75">
        <f>D17*0.4</f>
        <v>1664795721.1600456</v>
      </c>
      <c r="I17" s="96">
        <f t="shared" si="0"/>
        <v>2673010993.0560598</v>
      </c>
      <c r="J17" s="96">
        <f t="shared" si="1"/>
        <v>185040046.65207368</v>
      </c>
      <c r="K17" s="96">
        <f>G17*'[1]Доходность акций'!$H$14*0.87</f>
        <v>194361421.02237806</v>
      </c>
      <c r="L17" s="75">
        <f t="shared" si="2"/>
        <v>4717208181.8905573</v>
      </c>
      <c r="M17" s="75"/>
      <c r="N17" s="100">
        <f>$N$3*(1+$C$25)^14</f>
        <v>175666216.75205138</v>
      </c>
      <c r="O17" s="75">
        <f>0.04*L17</f>
        <v>188688327.27562231</v>
      </c>
      <c r="P17" s="75">
        <v>0</v>
      </c>
      <c r="Q17" s="75">
        <f t="shared" si="8"/>
        <v>13022110.523570925</v>
      </c>
      <c r="R17" s="75">
        <f t="shared" si="5"/>
        <v>1537366699.3623419</v>
      </c>
      <c r="S17" s="116">
        <v>14</v>
      </c>
    </row>
    <row r="18" spans="1:19" x14ac:dyDescent="0.2">
      <c r="A18" s="16"/>
      <c r="B18" s="115" t="s">
        <v>176</v>
      </c>
      <c r="C18" s="111">
        <v>2041</v>
      </c>
      <c r="D18" s="46">
        <f t="shared" si="4"/>
        <v>4528519854.6149349</v>
      </c>
      <c r="E18" s="75">
        <v>0.34046799999999999</v>
      </c>
      <c r="F18" s="75">
        <f>F5</f>
        <v>0.11114880000000001</v>
      </c>
      <c r="G18" s="96">
        <f>D18*0.6</f>
        <v>2717111912.768961</v>
      </c>
      <c r="H18" s="75">
        <f>D18*0.4</f>
        <v>1811407941.845974</v>
      </c>
      <c r="I18" s="96">
        <f t="shared" si="0"/>
        <v>3642201571.4855833</v>
      </c>
      <c r="J18" s="96">
        <f t="shared" si="1"/>
        <v>201335819.04664981</v>
      </c>
      <c r="K18" s="96">
        <f>G18*'[1]Доходность акций'!$H$14*0.87</f>
        <v>211478091.36791897</v>
      </c>
      <c r="L18" s="75">
        <f t="shared" si="2"/>
        <v>5866423423.7461262</v>
      </c>
      <c r="M18" s="75"/>
      <c r="N18" s="100">
        <f>$N$3*(1+$C$25)^15</f>
        <v>192723406.39867556</v>
      </c>
      <c r="O18" s="75">
        <f>0.04*L18</f>
        <v>234656936.94984505</v>
      </c>
      <c r="P18" s="75">
        <v>0</v>
      </c>
      <c r="Q18" s="75">
        <f t="shared" si="8"/>
        <v>41933530.551169485</v>
      </c>
      <c r="R18" s="75">
        <f t="shared" si="5"/>
        <v>1831988266.6996729</v>
      </c>
      <c r="S18" s="116">
        <v>15</v>
      </c>
    </row>
    <row r="19" spans="1:19" x14ac:dyDescent="0.2">
      <c r="A19" s="16"/>
      <c r="B19" s="110" t="s">
        <v>176</v>
      </c>
      <c r="C19" s="111">
        <v>2042</v>
      </c>
      <c r="D19" s="46">
        <f t="shared" si="4"/>
        <v>5631766486.7962809</v>
      </c>
      <c r="E19" s="75">
        <v>0.47921200000000003</v>
      </c>
      <c r="F19" s="75">
        <f>F5</f>
        <v>0.11114880000000001</v>
      </c>
      <c r="G19" s="96">
        <f>D19*0.6</f>
        <v>3379059892.0777683</v>
      </c>
      <c r="H19" s="75">
        <f>D19*0.4</f>
        <v>2252706594.7185125</v>
      </c>
      <c r="I19" s="96">
        <f t="shared" si="0"/>
        <v>4998345941.0801401</v>
      </c>
      <c r="J19" s="96">
        <f t="shared" si="1"/>
        <v>250385634.75504902</v>
      </c>
      <c r="K19" s="96">
        <f>G19*'[1]Доходность акций'!$H$14*0.87</f>
        <v>262998786.77660331</v>
      </c>
      <c r="L19" s="75">
        <f t="shared" si="2"/>
        <v>7764436957.3303051</v>
      </c>
      <c r="M19" s="75"/>
      <c r="N19" s="100">
        <f>$N$3*(1+$C$25)^16</f>
        <v>211436849.15998697</v>
      </c>
      <c r="O19" s="75">
        <f>0.04*L19</f>
        <v>310577478.29321223</v>
      </c>
      <c r="P19" s="75">
        <v>0</v>
      </c>
      <c r="Q19" s="75">
        <f t="shared" si="8"/>
        <v>99140629.133225262</v>
      </c>
      <c r="R19" s="75">
        <f t="shared" si="5"/>
        <v>2240109519.1661615</v>
      </c>
      <c r="S19" s="116">
        <v>16</v>
      </c>
    </row>
    <row r="20" spans="1:19" x14ac:dyDescent="0.2">
      <c r="A20" s="16"/>
      <c r="B20" s="110" t="s">
        <v>176</v>
      </c>
      <c r="C20" s="111">
        <v>2043</v>
      </c>
      <c r="D20" s="46">
        <f t="shared" si="4"/>
        <v>7453859479.0370932</v>
      </c>
      <c r="E20" s="75">
        <v>-4.3333999999999998E-2</v>
      </c>
      <c r="F20" s="75">
        <f>F5</f>
        <v>0.11114880000000001</v>
      </c>
      <c r="G20" s="96">
        <f>D20*0.6</f>
        <v>4472315687.4222555</v>
      </c>
      <c r="H20" s="75">
        <f>D20*0.4</f>
        <v>2981543791.6148376</v>
      </c>
      <c r="I20" s="96">
        <f t="shared" si="0"/>
        <v>4278512359.4234996</v>
      </c>
      <c r="J20" s="96">
        <f t="shared" si="1"/>
        <v>331395014.58543926</v>
      </c>
      <c r="K20" s="96">
        <f>G20*'[1]Доходность акций'!$H$14*0.87</f>
        <v>348089006.24450767</v>
      </c>
      <c r="L20" s="75">
        <f t="shared" si="2"/>
        <v>7939540171.8682852</v>
      </c>
      <c r="M20" s="75"/>
      <c r="N20" s="100">
        <f>$N$3*(1+$C$25)^17</f>
        <v>231967367.2134217</v>
      </c>
      <c r="O20" s="75">
        <f>0.04*L20</f>
        <v>317581606.87473142</v>
      </c>
      <c r="P20" s="75">
        <v>0</v>
      </c>
      <c r="Q20" s="75">
        <f t="shared" si="8"/>
        <v>85614239.661309719</v>
      </c>
      <c r="R20" s="75">
        <f>(R19+Q20)*1.16</f>
        <v>2697839560.2398663</v>
      </c>
      <c r="S20" s="116">
        <v>17</v>
      </c>
    </row>
    <row r="21" spans="1:19" x14ac:dyDescent="0.2">
      <c r="A21" s="16"/>
      <c r="B21" s="110" t="s">
        <v>176</v>
      </c>
      <c r="C21" s="111">
        <v>2044</v>
      </c>
      <c r="D21" s="46">
        <f t="shared" si="4"/>
        <v>7621958564.9935541</v>
      </c>
      <c r="E21" s="75">
        <v>0.15848400000000001</v>
      </c>
      <c r="F21" s="75">
        <f>F5</f>
        <v>0.11114880000000001</v>
      </c>
      <c r="G21" s="96">
        <f>D21*0.6</f>
        <v>4573175138.9961319</v>
      </c>
      <c r="H21" s="75">
        <f>D21*0.4</f>
        <v>3048783425.9974217</v>
      </c>
      <c r="I21" s="96">
        <f t="shared" si="0"/>
        <v>5297950227.7247953</v>
      </c>
      <c r="J21" s="96">
        <f t="shared" si="1"/>
        <v>338868619.25950223</v>
      </c>
      <c r="K21" s="96">
        <f>G21*'[1]Доходность акций'!$H$14*0.87</f>
        <v>355939093.02783853</v>
      </c>
      <c r="L21" s="75">
        <f t="shared" si="2"/>
        <v>9041541366.0095577</v>
      </c>
      <c r="M21" s="75"/>
      <c r="N21" s="100">
        <f>$N$3*(1+$C$25)^18</f>
        <v>254491398.56984493</v>
      </c>
      <c r="O21" s="75">
        <f>0.04*L21</f>
        <v>361661654.64038229</v>
      </c>
      <c r="P21" s="75">
        <v>0</v>
      </c>
      <c r="Q21" s="75">
        <f t="shared" si="8"/>
        <v>107170256.07053736</v>
      </c>
      <c r="R21" s="75">
        <f t="shared" si="5"/>
        <v>3253811386.9200683</v>
      </c>
      <c r="S21" s="116">
        <v>18</v>
      </c>
    </row>
    <row r="22" spans="1:19" x14ac:dyDescent="0.2">
      <c r="A22" s="16"/>
      <c r="B22" s="110" t="s">
        <v>176</v>
      </c>
      <c r="C22" s="111">
        <v>2045</v>
      </c>
      <c r="D22" s="46">
        <f t="shared" si="4"/>
        <v>8679879711.369175</v>
      </c>
      <c r="E22" s="75">
        <v>0.34046799999999999</v>
      </c>
      <c r="F22" s="75">
        <f>F5</f>
        <v>0.11114880000000001</v>
      </c>
      <c r="G22" s="96">
        <f>D22*0.6</f>
        <v>5207927826.8215046</v>
      </c>
      <c r="H22" s="75">
        <f>D22*0.4</f>
        <v>3471951884.5476704</v>
      </c>
      <c r="I22" s="96">
        <f t="shared" si="0"/>
        <v>6981060598.1637688</v>
      </c>
      <c r="J22" s="96">
        <f t="shared" si="1"/>
        <v>385903285.62521213</v>
      </c>
      <c r="K22" s="96">
        <f>G22*'[1]Доходность акций'!$H$14*0.87</f>
        <v>405343126.14150167</v>
      </c>
      <c r="L22" s="75">
        <f t="shared" si="2"/>
        <v>11244258894.478153</v>
      </c>
      <c r="M22" s="75"/>
      <c r="N22" s="100">
        <f>$N$3*(1+$C$25)^19</f>
        <v>279202513.37097687</v>
      </c>
      <c r="O22" s="75">
        <f>0.04*L22</f>
        <v>449770355.77912617</v>
      </c>
      <c r="P22" s="75">
        <v>0</v>
      </c>
      <c r="Q22" s="75">
        <f t="shared" si="8"/>
        <v>170567842.4081493</v>
      </c>
      <c r="R22" s="75">
        <f>(R21+Q22)*1.16</f>
        <v>3972279906.0207319</v>
      </c>
      <c r="S22" s="116">
        <v>19</v>
      </c>
    </row>
    <row r="23" spans="1:19" x14ac:dyDescent="0.2">
      <c r="A23" s="16"/>
      <c r="B23" s="110" t="s">
        <v>176</v>
      </c>
      <c r="C23" s="111">
        <v>2046</v>
      </c>
      <c r="D23" s="46">
        <f t="shared" si="4"/>
        <v>10794488538.699028</v>
      </c>
      <c r="E23" s="75">
        <v>0.15848400000000001</v>
      </c>
      <c r="F23" s="75">
        <f>F5</f>
        <v>0.11114880000000001</v>
      </c>
      <c r="G23" s="96">
        <f>D23*0.6</f>
        <v>6476693123.2194166</v>
      </c>
      <c r="H23" s="75">
        <f>D23*0.4</f>
        <v>4317795415.4796114</v>
      </c>
      <c r="I23" s="96">
        <f t="shared" si="0"/>
        <v>7503145356.1597233</v>
      </c>
      <c r="J23" s="96">
        <f t="shared" si="1"/>
        <v>479917779.07606024</v>
      </c>
      <c r="K23" s="96">
        <f>G23*'[1]Доходность акций'!$H$14*0.87</f>
        <v>504093590.56482619</v>
      </c>
      <c r="L23" s="75">
        <f>SUM(I23,K23)</f>
        <v>8007238946.7245493</v>
      </c>
      <c r="M23" s="75"/>
      <c r="N23" s="100">
        <f>$N$3*(1+$C$25)^20</f>
        <v>306313077.41929871</v>
      </c>
      <c r="O23" s="75">
        <f>0.04*L23</f>
        <v>320289557.86898196</v>
      </c>
      <c r="P23" s="75">
        <v>0</v>
      </c>
      <c r="Q23" s="75">
        <f t="shared" si="8"/>
        <v>13976480.449683249</v>
      </c>
      <c r="R23" s="75">
        <f t="shared" si="5"/>
        <v>4624057408.3056812</v>
      </c>
      <c r="S23" s="116">
        <v>20</v>
      </c>
    </row>
    <row r="24" spans="1:19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9" x14ac:dyDescent="0.2">
      <c r="A25" s="16"/>
      <c r="B25" s="58" t="s">
        <v>61</v>
      </c>
      <c r="C25" s="59">
        <v>9.7100000000000006E-2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9" x14ac:dyDescent="0.2">
      <c r="A26" s="16"/>
      <c r="B26" s="58" t="s">
        <v>188</v>
      </c>
      <c r="C26" s="60">
        <v>0.13</v>
      </c>
      <c r="D26" s="16"/>
      <c r="E26" s="16"/>
      <c r="F26" s="16"/>
      <c r="G26" s="61"/>
      <c r="H26" s="25"/>
      <c r="I26" s="16"/>
      <c r="J26" s="16"/>
      <c r="K26" s="16"/>
      <c r="L26" s="16"/>
      <c r="M26" s="16"/>
      <c r="N26" s="16"/>
    </row>
    <row r="27" spans="1:19" x14ac:dyDescent="0.2">
      <c r="A27" s="16"/>
      <c r="B27" s="16"/>
      <c r="C27" s="16"/>
      <c r="D27" s="16"/>
      <c r="E27" s="16"/>
      <c r="F27" s="16"/>
      <c r="G27" s="16"/>
      <c r="H27" s="61"/>
      <c r="I27" s="25"/>
      <c r="J27" s="16"/>
      <c r="K27" s="16"/>
      <c r="L27" s="16"/>
      <c r="M27" s="16"/>
      <c r="N27" s="16"/>
    </row>
    <row r="28" spans="1:19" x14ac:dyDescent="0.2">
      <c r="A28" s="16"/>
      <c r="B28" s="16"/>
      <c r="C28" s="16"/>
      <c r="D28" s="16"/>
      <c r="E28" s="16"/>
      <c r="F28" s="61"/>
      <c r="G28" s="16"/>
      <c r="H28" s="61"/>
      <c r="I28" s="25"/>
      <c r="J28" s="25"/>
      <c r="K28" s="16"/>
      <c r="L28" s="16"/>
      <c r="M28" s="16"/>
      <c r="N28" s="16"/>
    </row>
    <row r="29" spans="1:19" x14ac:dyDescent="0.2">
      <c r="F29" s="13"/>
      <c r="H29" s="13"/>
      <c r="I29" s="1"/>
      <c r="J29" s="1"/>
    </row>
    <row r="30" spans="1:19" x14ac:dyDescent="0.2">
      <c r="F30" s="13"/>
      <c r="H30" s="13"/>
      <c r="I30" s="1"/>
      <c r="J30" s="1"/>
    </row>
    <row r="31" spans="1:19" x14ac:dyDescent="0.2">
      <c r="F31" s="13"/>
      <c r="H31" s="13"/>
      <c r="I31" s="1"/>
      <c r="J31" s="1"/>
    </row>
    <row r="32" spans="1:19" x14ac:dyDescent="0.2">
      <c r="F32" s="13"/>
      <c r="H32" s="13"/>
      <c r="I32" s="1"/>
      <c r="J32" s="1"/>
    </row>
    <row r="33" spans="6:10" x14ac:dyDescent="0.2">
      <c r="F33" s="13"/>
      <c r="H33" s="13"/>
      <c r="I33" s="1"/>
      <c r="J33" s="1"/>
    </row>
    <row r="34" spans="6:10" x14ac:dyDescent="0.2">
      <c r="F34" s="13"/>
      <c r="H34" s="13"/>
      <c r="I34" s="1"/>
      <c r="J34" s="1"/>
    </row>
    <row r="35" spans="6:10" x14ac:dyDescent="0.2">
      <c r="H35" s="13"/>
      <c r="I35" s="1"/>
    </row>
    <row r="36" spans="6:10" x14ac:dyDescent="0.2">
      <c r="F36" s="13"/>
      <c r="H36" s="13"/>
      <c r="I36" s="1"/>
      <c r="J36" s="1"/>
    </row>
    <row r="37" spans="6:10" x14ac:dyDescent="0.2">
      <c r="F37" s="13"/>
      <c r="H37" s="13"/>
      <c r="I37" s="1"/>
      <c r="J37" s="1"/>
    </row>
    <row r="38" spans="6:10" x14ac:dyDescent="0.2">
      <c r="F38" s="13"/>
      <c r="H38" s="13"/>
      <c r="I38" s="1"/>
      <c r="J38" s="1"/>
    </row>
    <row r="39" spans="6:10" x14ac:dyDescent="0.2">
      <c r="F39" s="13"/>
      <c r="H39" s="13"/>
      <c r="I39" s="1"/>
      <c r="J39" s="1"/>
    </row>
    <row r="40" spans="6:10" x14ac:dyDescent="0.2">
      <c r="F40" s="13"/>
      <c r="H40" s="13"/>
      <c r="I40" s="1"/>
      <c r="J40" s="1"/>
    </row>
    <row r="41" spans="6:10" x14ac:dyDescent="0.2">
      <c r="F41" s="13"/>
      <c r="H41" s="13"/>
      <c r="I41" s="1"/>
      <c r="J41" s="1"/>
    </row>
    <row r="42" spans="6:10" x14ac:dyDescent="0.2">
      <c r="F42" s="13"/>
      <c r="H42" s="13"/>
      <c r="I42" s="1"/>
      <c r="J42" s="1"/>
    </row>
    <row r="43" spans="6:10" x14ac:dyDescent="0.2">
      <c r="F43" s="13"/>
      <c r="H43" s="14"/>
      <c r="I43" s="1"/>
      <c r="J43" s="1"/>
    </row>
    <row r="44" spans="6:10" x14ac:dyDescent="0.2">
      <c r="F44" s="13"/>
      <c r="H44" s="13"/>
      <c r="I44" s="2"/>
      <c r="J44" s="1"/>
    </row>
    <row r="45" spans="6:10" x14ac:dyDescent="0.2">
      <c r="F45" s="13"/>
      <c r="H45" s="13"/>
      <c r="I45" s="1"/>
      <c r="J45" s="1"/>
    </row>
    <row r="46" spans="6:10" x14ac:dyDescent="0.2">
      <c r="F46" s="13"/>
      <c r="H46" s="13"/>
      <c r="I46" s="1"/>
      <c r="J46" s="1"/>
    </row>
    <row r="47" spans="6:10" x14ac:dyDescent="0.2">
      <c r="F47" s="13"/>
      <c r="H47" s="13"/>
      <c r="I47" s="1"/>
      <c r="J47" s="1"/>
    </row>
    <row r="48" spans="6:10" x14ac:dyDescent="0.2">
      <c r="F48" s="13"/>
      <c r="H48" s="1"/>
      <c r="J48" s="1"/>
    </row>
    <row r="49" spans="6:10" x14ac:dyDescent="0.2">
      <c r="F49" s="13"/>
      <c r="H49" s="1"/>
      <c r="J4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5E65-F8AE-4E09-BE98-B9554A1277C3}">
  <dimension ref="A1:S68"/>
  <sheetViews>
    <sheetView topLeftCell="J19" zoomScale="96" zoomScaleNormal="96" workbookViewId="0">
      <selection activeCell="D22" sqref="D22"/>
    </sheetView>
  </sheetViews>
  <sheetFormatPr defaultColWidth="8.875" defaultRowHeight="15" x14ac:dyDescent="0.2"/>
  <cols>
    <col min="2" max="2" width="18.83203125" customWidth="1"/>
    <col min="3" max="3" width="9.953125" bestFit="1" customWidth="1"/>
    <col min="4" max="4" width="21.1171875" bestFit="1" customWidth="1"/>
    <col min="5" max="6" width="13.44921875" bestFit="1" customWidth="1"/>
    <col min="7" max="7" width="27.7109375" bestFit="1" customWidth="1"/>
    <col min="8" max="8" width="25.9609375" bestFit="1" customWidth="1"/>
    <col min="9" max="9" width="17.484375" bestFit="1" customWidth="1"/>
    <col min="10" max="10" width="15.87109375" bestFit="1" customWidth="1"/>
    <col min="11" max="11" width="16.6796875" bestFit="1" customWidth="1"/>
    <col min="12" max="12" width="36.05078125" bestFit="1" customWidth="1"/>
    <col min="13" max="13" width="18.29296875" bestFit="1" customWidth="1"/>
    <col min="14" max="15" width="15.87109375" bestFit="1" customWidth="1"/>
    <col min="16" max="16" width="21.65625" customWidth="1"/>
    <col min="17" max="17" width="26.90234375" bestFit="1" customWidth="1"/>
    <col min="18" max="18" width="31.07421875" bestFit="1" customWidth="1"/>
    <col min="19" max="19" width="6.9921875" bestFit="1" customWidth="1"/>
  </cols>
  <sheetData>
    <row r="1" spans="1:19" x14ac:dyDescent="0.2">
      <c r="A1" s="16"/>
      <c r="B1" s="16"/>
      <c r="C1" s="16"/>
      <c r="D1" s="16"/>
      <c r="E1" s="40"/>
      <c r="F1" s="40"/>
      <c r="G1" s="40"/>
      <c r="H1" s="40"/>
      <c r="I1" s="40"/>
      <c r="J1" s="40"/>
      <c r="K1" s="40"/>
      <c r="L1" s="40"/>
      <c r="M1" s="40"/>
      <c r="N1" s="16"/>
    </row>
    <row r="2" spans="1:19" ht="27.75" x14ac:dyDescent="0.2">
      <c r="A2" s="16"/>
      <c r="B2" s="41" t="s">
        <v>176</v>
      </c>
      <c r="C2" s="64" t="s">
        <v>176</v>
      </c>
      <c r="D2" s="62" t="s">
        <v>177</v>
      </c>
      <c r="E2" s="42" t="s">
        <v>178</v>
      </c>
      <c r="F2" s="43" t="s">
        <v>179</v>
      </c>
      <c r="G2" s="43" t="s">
        <v>180</v>
      </c>
      <c r="H2" s="43" t="s">
        <v>181</v>
      </c>
      <c r="I2" s="43" t="s">
        <v>182</v>
      </c>
      <c r="J2" s="43" t="s">
        <v>183</v>
      </c>
      <c r="K2" s="43" t="s">
        <v>184</v>
      </c>
      <c r="L2" s="43" t="s">
        <v>185</v>
      </c>
      <c r="M2" s="44" t="s">
        <v>186</v>
      </c>
      <c r="N2" s="63" t="s">
        <v>187</v>
      </c>
      <c r="O2" s="108" t="s">
        <v>243</v>
      </c>
      <c r="P2" s="108" t="s">
        <v>244</v>
      </c>
      <c r="Q2" s="108" t="s">
        <v>241</v>
      </c>
      <c r="R2" s="108" t="s">
        <v>242</v>
      </c>
      <c r="S2" s="109"/>
    </row>
    <row r="3" spans="1:19" x14ac:dyDescent="0.2">
      <c r="A3" s="16"/>
      <c r="B3" s="45" t="s">
        <v>176</v>
      </c>
      <c r="C3" s="65">
        <v>2026</v>
      </c>
      <c r="D3" s="47">
        <v>656600000</v>
      </c>
      <c r="E3" s="75">
        <v>6.7409999999999998E-2</v>
      </c>
      <c r="F3" s="49">
        <v>0.137934</v>
      </c>
      <c r="G3" s="50">
        <f>D3*0.6</f>
        <v>393960000</v>
      </c>
      <c r="H3" s="49">
        <f>D3*0.4</f>
        <v>262640000</v>
      </c>
      <c r="I3" s="50">
        <f>G3*(1+E3)</f>
        <v>420516843.59999996</v>
      </c>
      <c r="J3" s="50">
        <f>H3*F3</f>
        <v>36226985.759999998</v>
      </c>
      <c r="K3" s="50">
        <f>G3*'[1]Доходность акций'!$H$14*0.87</f>
        <v>30662671.082399998</v>
      </c>
      <c r="L3" s="51">
        <f>SUM(H3:K3)</f>
        <v>750046500.44239986</v>
      </c>
      <c r="M3" s="117">
        <v>281400000</v>
      </c>
      <c r="N3" s="118">
        <v>48000000</v>
      </c>
      <c r="O3" s="75">
        <f>0.04*L3</f>
        <v>30001860.017695993</v>
      </c>
      <c r="P3" s="75"/>
      <c r="Q3" s="75">
        <f>O3-P3</f>
        <v>30001860.017695993</v>
      </c>
      <c r="R3" s="75">
        <f>Q3*1.16</f>
        <v>34802157.620527349</v>
      </c>
      <c r="S3" s="109"/>
    </row>
    <row r="4" spans="1:19" x14ac:dyDescent="0.2">
      <c r="A4" s="16"/>
      <c r="B4" s="45" t="s">
        <v>176</v>
      </c>
      <c r="C4" s="65">
        <v>2027</v>
      </c>
      <c r="D4" s="46">
        <f>L3-(O3+P3)</f>
        <v>720044640.42470384</v>
      </c>
      <c r="E4" s="48">
        <v>0.32600000000000001</v>
      </c>
      <c r="F4" s="19">
        <v>9.7434000000000007E-2</v>
      </c>
      <c r="G4" s="50">
        <f>D4*0.6</f>
        <v>432026784.25482231</v>
      </c>
      <c r="H4" s="49">
        <f>D4*0.4</f>
        <v>288017856.16988152</v>
      </c>
      <c r="I4" s="50">
        <f t="shared" ref="I4:I23" si="0">G4*(1+E4)</f>
        <v>572867515.92189443</v>
      </c>
      <c r="J4" s="50">
        <f t="shared" ref="J4:J23" si="1">H4*F4</f>
        <v>28062731.798056237</v>
      </c>
      <c r="K4" s="50">
        <f>G4*'[1]Доходность акций'!$H$14*0.87</f>
        <v>33625482.750514269</v>
      </c>
      <c r="L4" s="51">
        <f t="shared" ref="L4:L22" si="2">SUM(H4:K4)</f>
        <v>922573586.64034641</v>
      </c>
      <c r="M4" s="49">
        <f>M3-N3</f>
        <v>233400000</v>
      </c>
      <c r="N4" s="52">
        <f>$N$3*(1+$C$25)^1</f>
        <v>53140800</v>
      </c>
      <c r="O4" s="75">
        <f>0.04*L4</f>
        <v>36902943.465613857</v>
      </c>
      <c r="P4" s="75"/>
      <c r="Q4" s="75">
        <f t="shared" ref="Q4:Q23" si="3">O4-P4</f>
        <v>36902943.465613857</v>
      </c>
      <c r="R4" s="75">
        <f>(R3+Q4)*1.16</f>
        <v>83177917.259923786</v>
      </c>
      <c r="S4" s="116">
        <v>1</v>
      </c>
    </row>
    <row r="5" spans="1:19" x14ac:dyDescent="0.2">
      <c r="A5" s="16"/>
      <c r="B5" s="45" t="s">
        <v>176</v>
      </c>
      <c r="C5" s="65">
        <v>2028</v>
      </c>
      <c r="D5" s="46">
        <f t="shared" ref="D5:D23" si="4">L4-(O4+P4)</f>
        <v>885670643.17473257</v>
      </c>
      <c r="E5" s="48">
        <v>0.15174000000000001</v>
      </c>
      <c r="F5" s="49">
        <v>0.104184</v>
      </c>
      <c r="G5" s="50">
        <f>D5*0.6</f>
        <v>531402385.90483952</v>
      </c>
      <c r="H5" s="49">
        <f>D5*0.4</f>
        <v>354268257.26989305</v>
      </c>
      <c r="I5" s="50">
        <f t="shared" si="0"/>
        <v>612037383.94203985</v>
      </c>
      <c r="J5" s="50">
        <f t="shared" si="1"/>
        <v>36909084.115406536</v>
      </c>
      <c r="K5" s="50">
        <f>G5*'[1]Доходность акций'!$H$14*0.87</f>
        <v>41360078.615602307</v>
      </c>
      <c r="L5" s="51">
        <f t="shared" si="2"/>
        <v>1044574803.9429417</v>
      </c>
      <c r="M5" s="49">
        <f>M4-N4</f>
        <v>180259200</v>
      </c>
      <c r="N5" s="52">
        <f>$N$3*(1+$C$25)^2</f>
        <v>58832179.68</v>
      </c>
      <c r="O5" s="75">
        <f>0.04*L5</f>
        <v>41782992.157717668</v>
      </c>
      <c r="P5" s="75"/>
      <c r="Q5" s="75">
        <f t="shared" si="3"/>
        <v>41782992.157717668</v>
      </c>
      <c r="R5" s="75">
        <f t="shared" ref="R5:R23" si="5">(R4+Q5)*1.16</f>
        <v>144954654.92446408</v>
      </c>
      <c r="S5" s="116">
        <v>2</v>
      </c>
    </row>
    <row r="6" spans="1:19" x14ac:dyDescent="0.2">
      <c r="A6" s="16"/>
      <c r="B6" s="45" t="s">
        <v>176</v>
      </c>
      <c r="C6" s="65">
        <v>2029</v>
      </c>
      <c r="D6" s="119">
        <f>L5-(O5+P5)</f>
        <v>1002791811.785224</v>
      </c>
      <c r="E6" s="48">
        <v>0.15174000000000001</v>
      </c>
      <c r="F6" s="49">
        <f>F5</f>
        <v>0.104184</v>
      </c>
      <c r="G6" s="50">
        <f>D6*0.6</f>
        <v>601675087.07113433</v>
      </c>
      <c r="H6" s="49">
        <f>D6*0.4</f>
        <v>401116724.71408963</v>
      </c>
      <c r="I6" s="50">
        <f t="shared" si="0"/>
        <v>692973264.78330827</v>
      </c>
      <c r="J6" s="50">
        <f t="shared" si="1"/>
        <v>41789944.847612716</v>
      </c>
      <c r="K6" s="50">
        <f>G6*'[1]Доходность акций'!$H$14*0.87</f>
        <v>46829539.276415296</v>
      </c>
      <c r="L6" s="51">
        <f t="shared" si="2"/>
        <v>1182709473.6214259</v>
      </c>
      <c r="M6" s="49">
        <f>M5-N5</f>
        <v>121427020.31999999</v>
      </c>
      <c r="N6" s="52">
        <f>$N$3*(1+$C$25)^3</f>
        <v>65133106.123728</v>
      </c>
      <c r="O6" s="75">
        <f>0.04*L6</f>
        <v>47308378.944857039</v>
      </c>
      <c r="P6" s="75"/>
      <c r="Q6" s="75">
        <f t="shared" si="3"/>
        <v>47308378.944857039</v>
      </c>
      <c r="R6" s="75">
        <f t="shared" si="5"/>
        <v>223025119.28841248</v>
      </c>
      <c r="S6" s="116">
        <v>3</v>
      </c>
    </row>
    <row r="7" spans="1:19" x14ac:dyDescent="0.2">
      <c r="A7" s="16"/>
      <c r="B7" s="45" t="s">
        <v>176</v>
      </c>
      <c r="C7" s="65">
        <v>2030</v>
      </c>
      <c r="D7" s="46">
        <f t="shared" si="4"/>
        <v>1135401094.6765687</v>
      </c>
      <c r="E7" s="48">
        <v>-4.1489999999999999E-2</v>
      </c>
      <c r="F7" s="49">
        <f>F5</f>
        <v>0.104184</v>
      </c>
      <c r="G7" s="50">
        <f>D7*0.6</f>
        <v>681240656.80594122</v>
      </c>
      <c r="H7" s="49">
        <f>D7*0.4</f>
        <v>454160437.87062752</v>
      </c>
      <c r="I7" s="50">
        <f t="shared" si="0"/>
        <v>652975981.95506275</v>
      </c>
      <c r="J7" s="50">
        <f t="shared" si="1"/>
        <v>47316251.059113458</v>
      </c>
      <c r="K7" s="50">
        <f>G7*'[1]Доходность акций'!$H$14*0.87</f>
        <v>53022281.926080599</v>
      </c>
      <c r="L7" s="51">
        <f t="shared" si="2"/>
        <v>1207474952.8108845</v>
      </c>
      <c r="M7" s="49">
        <f>M6-N6</f>
        <v>56293914.196271993</v>
      </c>
      <c r="N7" s="52">
        <f>$N$3*(1+$C$25)^4</f>
        <v>72108861.789579272</v>
      </c>
      <c r="O7" s="75">
        <f>0.04*L7</f>
        <v>48298998.112435378</v>
      </c>
      <c r="P7" s="75"/>
      <c r="Q7" s="75">
        <f>O7-(N7-M7)</f>
        <v>32484050.519128099</v>
      </c>
      <c r="R7" s="75">
        <f t="shared" si="5"/>
        <v>296390636.9767471</v>
      </c>
      <c r="S7" s="116">
        <v>4</v>
      </c>
    </row>
    <row r="8" spans="1:19" x14ac:dyDescent="0.2">
      <c r="A8" s="16"/>
      <c r="B8" s="45" t="s">
        <v>176</v>
      </c>
      <c r="C8" s="65">
        <v>2031</v>
      </c>
      <c r="D8" s="46">
        <f t="shared" si="4"/>
        <v>1159175954.6984491</v>
      </c>
      <c r="E8" s="53">
        <v>0.45882000000000001</v>
      </c>
      <c r="F8" s="54">
        <f>F5</f>
        <v>0.104184</v>
      </c>
      <c r="G8" s="55">
        <f>D8*0.6</f>
        <v>695505572.8190695</v>
      </c>
      <c r="H8" s="54">
        <f>D8*0.4</f>
        <v>463670381.87937969</v>
      </c>
      <c r="I8" s="55">
        <f t="shared" si="0"/>
        <v>1014617439.739915</v>
      </c>
      <c r="J8" s="55">
        <f>H8*F8</f>
        <v>48307035.065721296</v>
      </c>
      <c r="K8" s="55">
        <f>G8*'[1]Доходность акций'!$H$14*0.87</f>
        <v>54132548.01331944</v>
      </c>
      <c r="L8" s="56">
        <f>SUM(H8:K8)</f>
        <v>1580727404.6983354</v>
      </c>
      <c r="M8" s="76">
        <v>0</v>
      </c>
      <c r="N8" s="52">
        <f>$N$3*(1+$C$25)^5</f>
        <v>79831720.887243196</v>
      </c>
      <c r="O8" s="75">
        <f>0.04*L8</f>
        <v>63229096.187933415</v>
      </c>
      <c r="P8" s="75">
        <f>N8-O8</f>
        <v>16602624.699309781</v>
      </c>
      <c r="Q8" s="75">
        <v>0</v>
      </c>
      <c r="R8" s="75">
        <f t="shared" si="5"/>
        <v>343813138.89302659</v>
      </c>
      <c r="S8" s="116">
        <v>5</v>
      </c>
    </row>
    <row r="9" spans="1:19" x14ac:dyDescent="0.2">
      <c r="A9" s="16"/>
      <c r="B9" s="45" t="s">
        <v>176</v>
      </c>
      <c r="C9" s="65">
        <v>2032</v>
      </c>
      <c r="D9" s="46">
        <f t="shared" si="4"/>
        <v>1500895683.8110921</v>
      </c>
      <c r="E9" s="48">
        <v>6.7409999999999998E-2</v>
      </c>
      <c r="F9" s="49">
        <f>F5</f>
        <v>0.104184</v>
      </c>
      <c r="G9" s="50">
        <f>D9*0.6</f>
        <v>900537410.28665531</v>
      </c>
      <c r="H9" s="49">
        <f>D9*0.4</f>
        <v>600358273.52443683</v>
      </c>
      <c r="I9" s="50">
        <f t="shared" si="0"/>
        <v>961242637.11407876</v>
      </c>
      <c r="J9" s="50">
        <f t="shared" si="1"/>
        <v>62547726.368869923</v>
      </c>
      <c r="K9" s="50">
        <f>G9*'[1]Доходность акций'!$H$14*0.87</f>
        <v>70090573.685186327</v>
      </c>
      <c r="L9" s="51">
        <f>SUM(H9:K9)</f>
        <v>1694239210.6925719</v>
      </c>
      <c r="M9" s="49"/>
      <c r="N9" s="52">
        <f>$N$3*(1+$C$25)^6</f>
        <v>88381698.194266945</v>
      </c>
      <c r="O9" s="75">
        <f>0.04*L9</f>
        <v>67769568.427702874</v>
      </c>
      <c r="P9" s="75">
        <f t="shared" ref="P9:P23" si="6">N9-O9</f>
        <v>20612129.766564071</v>
      </c>
      <c r="Q9" s="75">
        <v>0</v>
      </c>
      <c r="R9" s="75">
        <f t="shared" si="5"/>
        <v>398823241.11591083</v>
      </c>
      <c r="S9" s="116">
        <v>6</v>
      </c>
    </row>
    <row r="10" spans="1:19" x14ac:dyDescent="0.2">
      <c r="A10" s="16"/>
      <c r="B10" s="45" t="s">
        <v>176</v>
      </c>
      <c r="C10" s="65">
        <v>2033</v>
      </c>
      <c r="D10" s="46">
        <f t="shared" si="4"/>
        <v>1605857512.4983048</v>
      </c>
      <c r="E10" s="48">
        <v>0.14742</v>
      </c>
      <c r="F10" s="49">
        <f>F5</f>
        <v>0.104184</v>
      </c>
      <c r="G10" s="50">
        <f>D10*0.6</f>
        <v>963514507.49898291</v>
      </c>
      <c r="H10" s="49">
        <f>D10*0.4</f>
        <v>642343004.99932194</v>
      </c>
      <c r="I10" s="50">
        <f t="shared" si="0"/>
        <v>1105555816.1944828</v>
      </c>
      <c r="J10" s="50">
        <f t="shared" si="1"/>
        <v>66921863.632849358</v>
      </c>
      <c r="K10" s="50">
        <f>G10*'[1]Доходность акций'!$H$14*0.87</f>
        <v>74992203.336790383</v>
      </c>
      <c r="L10" s="51">
        <f t="shared" si="2"/>
        <v>1889812888.1634445</v>
      </c>
      <c r="M10" s="49"/>
      <c r="N10" s="52">
        <f>$N$3*(1+$C$25)^7</f>
        <v>97847378.070872948</v>
      </c>
      <c r="O10" s="75">
        <f>0.04*L10</f>
        <v>75592515.526537776</v>
      </c>
      <c r="P10" s="75">
        <f t="shared" si="6"/>
        <v>22254862.544335172</v>
      </c>
      <c r="Q10" s="75">
        <v>0</v>
      </c>
      <c r="R10" s="75">
        <f t="shared" si="5"/>
        <v>462634959.69445652</v>
      </c>
      <c r="S10" s="116">
        <v>7</v>
      </c>
    </row>
    <row r="11" spans="1:19" x14ac:dyDescent="0.2">
      <c r="A11" s="16"/>
      <c r="B11" s="45" t="s">
        <v>176</v>
      </c>
      <c r="C11" s="65">
        <v>2034</v>
      </c>
      <c r="D11" s="46">
        <f t="shared" si="4"/>
        <v>1791965510.0925715</v>
      </c>
      <c r="E11" s="48">
        <v>0.45882000000000001</v>
      </c>
      <c r="F11" s="49">
        <f>F5</f>
        <v>0.104184</v>
      </c>
      <c r="G11" s="50">
        <f>D11*0.6</f>
        <v>1075179306.0555429</v>
      </c>
      <c r="H11" s="49">
        <f>D11*0.4</f>
        <v>716786204.03702867</v>
      </c>
      <c r="I11" s="50">
        <f t="shared" si="0"/>
        <v>1568493075.2599471</v>
      </c>
      <c r="J11" s="50">
        <f t="shared" si="1"/>
        <v>74677653.88139379</v>
      </c>
      <c r="K11" s="50">
        <f>G11*'[1]Доходность акций'!$H$14*0.87</f>
        <v>83683291.238156632</v>
      </c>
      <c r="L11" s="51">
        <f t="shared" si="2"/>
        <v>2443640224.4165263</v>
      </c>
      <c r="M11" s="49"/>
      <c r="N11" s="52">
        <f>$N$3*(1+$C$25)^8</f>
        <v>108326832.26226343</v>
      </c>
      <c r="O11" s="75">
        <f>0.04*L11</f>
        <v>97745608.976661056</v>
      </c>
      <c r="P11" s="75">
        <f t="shared" si="6"/>
        <v>10581223.285602376</v>
      </c>
      <c r="Q11" s="75">
        <v>0</v>
      </c>
      <c r="R11" s="75">
        <f t="shared" si="5"/>
        <v>536656553.24556953</v>
      </c>
      <c r="S11" s="116">
        <v>8</v>
      </c>
    </row>
    <row r="12" spans="1:19" x14ac:dyDescent="0.2">
      <c r="A12" s="16"/>
      <c r="B12" s="45" t="s">
        <v>176</v>
      </c>
      <c r="C12" s="65">
        <v>2035</v>
      </c>
      <c r="D12" s="46">
        <f t="shared" si="4"/>
        <v>2335313392.154263</v>
      </c>
      <c r="E12" s="48">
        <v>0.32600000000000001</v>
      </c>
      <c r="F12" s="49">
        <f>F5</f>
        <v>0.104184</v>
      </c>
      <c r="G12" s="50">
        <f>D12*0.6</f>
        <v>1401188035.2925577</v>
      </c>
      <c r="H12" s="49">
        <f>D12*0.4</f>
        <v>934125356.8617053</v>
      </c>
      <c r="I12" s="50">
        <f t="shared" si="0"/>
        <v>1857975334.7979317</v>
      </c>
      <c r="J12" s="50">
        <f t="shared" si="1"/>
        <v>97320916.179279909</v>
      </c>
      <c r="K12" s="50">
        <f>G12*'[1]Доходность акций'!$H$14*0.87</f>
        <v>109057183.09160823</v>
      </c>
      <c r="L12" s="51">
        <f t="shared" si="2"/>
        <v>2998478790.9305248</v>
      </c>
      <c r="M12" s="49"/>
      <c r="N12" s="52">
        <f>$N$3*(1+$C$25)^9</f>
        <v>119928635.99755184</v>
      </c>
      <c r="O12" s="75">
        <f>0.04*L12</f>
        <v>119939151.63722099</v>
      </c>
      <c r="P12" s="75">
        <v>0</v>
      </c>
      <c r="Q12" s="75">
        <f>O12-N12</f>
        <v>10515.639669150114</v>
      </c>
      <c r="R12" s="75">
        <f t="shared" si="5"/>
        <v>622533799.9068768</v>
      </c>
      <c r="S12" s="116">
        <v>9</v>
      </c>
    </row>
    <row r="13" spans="1:19" x14ac:dyDescent="0.2">
      <c r="A13" s="16"/>
      <c r="B13" s="45" t="s">
        <v>176</v>
      </c>
      <c r="C13" s="65">
        <v>2036</v>
      </c>
      <c r="D13" s="46">
        <f t="shared" si="4"/>
        <v>2878539639.293304</v>
      </c>
      <c r="E13" s="48">
        <v>-4.1489999999999999E-2</v>
      </c>
      <c r="F13" s="49">
        <f>F5</f>
        <v>0.104184</v>
      </c>
      <c r="G13" s="50">
        <f>D13*0.6</f>
        <v>1727123783.5759823</v>
      </c>
      <c r="H13" s="49">
        <f>D13*0.4</f>
        <v>1151415855.7173216</v>
      </c>
      <c r="I13" s="50">
        <f t="shared" si="0"/>
        <v>1655465417.7954147</v>
      </c>
      <c r="J13" s="50">
        <f t="shared" si="1"/>
        <v>119959109.51205343</v>
      </c>
      <c r="K13" s="50">
        <f>G13*'[1]Доходность акций'!$H$14*0.87</f>
        <v>134425394.69585884</v>
      </c>
      <c r="L13" s="51">
        <f t="shared" si="2"/>
        <v>3061265777.7206488</v>
      </c>
      <c r="M13" s="49"/>
      <c r="N13" s="52">
        <f>$N$3*(1+$C$25)^10</f>
        <v>132772992.91288964</v>
      </c>
      <c r="O13" s="75">
        <f>0.04*L13</f>
        <v>122450631.10882595</v>
      </c>
      <c r="P13" s="75">
        <f t="shared" si="6"/>
        <v>10322361.804063693</v>
      </c>
      <c r="Q13" s="75">
        <v>0</v>
      </c>
      <c r="R13" s="75">
        <f t="shared" si="5"/>
        <v>722139207.89197707</v>
      </c>
      <c r="S13" s="116">
        <v>10</v>
      </c>
    </row>
    <row r="14" spans="1:19" x14ac:dyDescent="0.2">
      <c r="A14" s="16"/>
      <c r="B14" s="45" t="s">
        <v>176</v>
      </c>
      <c r="C14" s="65">
        <v>2037</v>
      </c>
      <c r="D14" s="46">
        <f t="shared" si="4"/>
        <v>2928492784.8077593</v>
      </c>
      <c r="E14" s="48">
        <v>6.7409999999999998E-2</v>
      </c>
      <c r="F14" s="49">
        <f>F5</f>
        <v>0.104184</v>
      </c>
      <c r="G14" s="50">
        <f>D14*0.6</f>
        <v>1757095670.8846555</v>
      </c>
      <c r="H14" s="49">
        <f>D14*0.4</f>
        <v>1171397113.9231038</v>
      </c>
      <c r="I14" s="50">
        <f t="shared" si="0"/>
        <v>1875541490.05899</v>
      </c>
      <c r="J14" s="50">
        <f t="shared" si="1"/>
        <v>122040836.91696465</v>
      </c>
      <c r="K14" s="50">
        <f>G14*'[1]Доходность акций'!$H$14*0.87</f>
        <v>136758164.83055425</v>
      </c>
      <c r="L14" s="51">
        <f t="shared" si="2"/>
        <v>3305737605.7296124</v>
      </c>
      <c r="M14" s="49"/>
      <c r="N14" s="52">
        <f>$N$3*(1+$C$25)^11</f>
        <v>146992980.45386013</v>
      </c>
      <c r="O14" s="75">
        <f>0.04*L14</f>
        <v>132229504.22918449</v>
      </c>
      <c r="P14" s="75">
        <f t="shared" si="6"/>
        <v>14763476.22467564</v>
      </c>
      <c r="Q14" s="75">
        <v>0</v>
      </c>
      <c r="R14" s="75">
        <f t="shared" si="5"/>
        <v>837681481.15469337</v>
      </c>
      <c r="S14" s="116">
        <v>11</v>
      </c>
    </row>
    <row r="15" spans="1:19" x14ac:dyDescent="0.2">
      <c r="A15" s="16"/>
      <c r="B15" s="45" t="s">
        <v>176</v>
      </c>
      <c r="C15" s="65">
        <v>2038</v>
      </c>
      <c r="D15" s="46">
        <f t="shared" si="4"/>
        <v>3158744625.2757521</v>
      </c>
      <c r="E15" s="48">
        <v>6.7409999999999998E-2</v>
      </c>
      <c r="F15" s="49">
        <f>F5</f>
        <v>0.104184</v>
      </c>
      <c r="G15" s="50">
        <f>D15*0.6</f>
        <v>1895246775.1654513</v>
      </c>
      <c r="H15" s="49">
        <f>D15*0.4</f>
        <v>1263497850.1103008</v>
      </c>
      <c r="I15" s="50">
        <f t="shared" si="0"/>
        <v>2023005360.2793543</v>
      </c>
      <c r="J15" s="50">
        <f t="shared" si="1"/>
        <v>131636260.01589158</v>
      </c>
      <c r="K15" s="50">
        <f>G15*'[1]Доходность акций'!$H$14*0.87</f>
        <v>147510733.28987089</v>
      </c>
      <c r="L15" s="51">
        <f t="shared" si="2"/>
        <v>3565650203.6954174</v>
      </c>
      <c r="M15" s="49"/>
      <c r="N15" s="52">
        <f>$N$3*(1+$C$25)^12</f>
        <v>162735928.66046855</v>
      </c>
      <c r="O15" s="75">
        <f>0.04*L15</f>
        <v>142626008.14781669</v>
      </c>
      <c r="P15" s="75">
        <f t="shared" si="6"/>
        <v>20109920.512651861</v>
      </c>
      <c r="Q15" s="75">
        <v>0</v>
      </c>
      <c r="R15" s="75">
        <f t="shared" si="5"/>
        <v>971710518.13944423</v>
      </c>
      <c r="S15" s="116">
        <v>12</v>
      </c>
    </row>
    <row r="16" spans="1:19" x14ac:dyDescent="0.2">
      <c r="A16" s="16"/>
      <c r="B16" s="45" t="s">
        <v>176</v>
      </c>
      <c r="C16" s="65">
        <v>2039</v>
      </c>
      <c r="D16" s="119">
        <f>L15-(O15+P15)</f>
        <v>3402914275.0349488</v>
      </c>
      <c r="E16" s="48">
        <v>6.7409999999999998E-2</v>
      </c>
      <c r="F16" s="49">
        <f>F5</f>
        <v>0.104184</v>
      </c>
      <c r="G16" s="50">
        <f>D16*0.6</f>
        <v>2041748565.0209692</v>
      </c>
      <c r="H16" s="49">
        <f>D16*0.4</f>
        <v>1361165710.0139797</v>
      </c>
      <c r="I16" s="50">
        <f t="shared" si="0"/>
        <v>2179382835.7890325</v>
      </c>
      <c r="J16" s="50">
        <f t="shared" si="1"/>
        <v>141811688.33209646</v>
      </c>
      <c r="K16" s="50">
        <f>G16*'[1]Доходность акций'!$H$14*0.87</f>
        <v>158913251.80779815</v>
      </c>
      <c r="L16" s="51">
        <f t="shared" si="2"/>
        <v>3841273485.9429064</v>
      </c>
      <c r="M16" s="49"/>
      <c r="N16" s="52">
        <f>$N$3*(1+$C$25)^13</f>
        <v>180164946.62000471</v>
      </c>
      <c r="O16" s="75">
        <f>0.04*L16</f>
        <v>153650939.43771625</v>
      </c>
      <c r="P16" s="75">
        <f t="shared" si="6"/>
        <v>26514007.182288468</v>
      </c>
      <c r="Q16" s="75">
        <v>0</v>
      </c>
      <c r="R16" s="75">
        <f t="shared" si="5"/>
        <v>1127184201.0417552</v>
      </c>
      <c r="S16" s="116">
        <v>13</v>
      </c>
    </row>
    <row r="17" spans="1:19" x14ac:dyDescent="0.2">
      <c r="A17" s="16"/>
      <c r="B17" s="57" t="s">
        <v>176</v>
      </c>
      <c r="C17" s="65">
        <v>2040</v>
      </c>
      <c r="D17" s="46">
        <f t="shared" si="4"/>
        <v>3661108539.3229017</v>
      </c>
      <c r="E17" s="48">
        <v>6.7409999999999998E-2</v>
      </c>
      <c r="F17" s="49">
        <f>F5</f>
        <v>0.104184</v>
      </c>
      <c r="G17" s="50">
        <f>D17*0.6</f>
        <v>2196665123.5937409</v>
      </c>
      <c r="H17" s="49">
        <f>D17*0.4</f>
        <v>1464443415.7291608</v>
      </c>
      <c r="I17" s="50">
        <f t="shared" si="0"/>
        <v>2344742319.5751948</v>
      </c>
      <c r="J17" s="50">
        <f t="shared" si="1"/>
        <v>152571572.82432687</v>
      </c>
      <c r="K17" s="50">
        <f>G17*'[1]Доходность акций'!$H$14*0.87</f>
        <v>170970708.09964061</v>
      </c>
      <c r="L17" s="51">
        <f t="shared" si="2"/>
        <v>4132728016.228323</v>
      </c>
      <c r="M17" s="49"/>
      <c r="N17" s="52">
        <f>$N$3*(1+$C$25)^14</f>
        <v>199460612.40300724</v>
      </c>
      <c r="O17" s="75">
        <f>0.04*L17</f>
        <v>165309120.64913294</v>
      </c>
      <c r="P17" s="75">
        <f t="shared" si="6"/>
        <v>34151491.753874302</v>
      </c>
      <c r="Q17" s="75">
        <v>0</v>
      </c>
      <c r="R17" s="75">
        <f t="shared" si="5"/>
        <v>1307533673.208436</v>
      </c>
      <c r="S17" s="116">
        <v>14</v>
      </c>
    </row>
    <row r="18" spans="1:19" x14ac:dyDescent="0.2">
      <c r="A18" s="16"/>
      <c r="B18" s="57" t="s">
        <v>176</v>
      </c>
      <c r="C18" s="65">
        <v>2041</v>
      </c>
      <c r="D18" s="46">
        <f t="shared" si="4"/>
        <v>3933267403.825316</v>
      </c>
      <c r="E18" s="48">
        <v>0.32600000000000001</v>
      </c>
      <c r="F18" s="49">
        <f>F5</f>
        <v>0.104184</v>
      </c>
      <c r="G18" s="50">
        <f>D18*0.6</f>
        <v>2359960442.2951894</v>
      </c>
      <c r="H18" s="49">
        <f>D18*0.4</f>
        <v>1573306961.5301266</v>
      </c>
      <c r="I18" s="50">
        <f t="shared" si="0"/>
        <v>3129307546.4834213</v>
      </c>
      <c r="J18" s="50">
        <f t="shared" si="1"/>
        <v>163913412.48005471</v>
      </c>
      <c r="K18" s="50">
        <f>G18*'[1]Доходность акций'!$H$14*0.87</f>
        <v>183680299.54709262</v>
      </c>
      <c r="L18" s="51">
        <f t="shared" si="2"/>
        <v>5050208220.0406952</v>
      </c>
      <c r="M18" s="49"/>
      <c r="N18" s="52">
        <f>$N$3*(1+$C$25)^15</f>
        <v>220822843.99136928</v>
      </c>
      <c r="O18" s="75">
        <f>0.04*L18</f>
        <v>202008328.80162781</v>
      </c>
      <c r="P18" s="75">
        <f t="shared" si="6"/>
        <v>18814515.189741462</v>
      </c>
      <c r="Q18" s="75">
        <v>0</v>
      </c>
      <c r="R18" s="75">
        <f t="shared" si="5"/>
        <v>1516739060.9217856</v>
      </c>
      <c r="S18" s="116">
        <v>15</v>
      </c>
    </row>
    <row r="19" spans="1:19" x14ac:dyDescent="0.2">
      <c r="A19" s="16"/>
      <c r="B19" s="45" t="s">
        <v>176</v>
      </c>
      <c r="C19" s="65">
        <v>2042</v>
      </c>
      <c r="D19" s="46">
        <f t="shared" si="4"/>
        <v>4829385376.0493259</v>
      </c>
      <c r="E19" s="48">
        <v>0.45882000000000001</v>
      </c>
      <c r="F19" s="49">
        <f>F5</f>
        <v>0.104184</v>
      </c>
      <c r="G19" s="50">
        <f>D19*0.6</f>
        <v>2897631225.6295953</v>
      </c>
      <c r="H19" s="49">
        <f>D19*0.4</f>
        <v>1931754150.4197304</v>
      </c>
      <c r="I19" s="50">
        <f t="shared" si="0"/>
        <v>4227122384.5729661</v>
      </c>
      <c r="J19" s="50">
        <f t="shared" si="1"/>
        <v>201257874.4073292</v>
      </c>
      <c r="K19" s="50">
        <f>G19*'[1]Доходность акций'!$H$14*0.87</f>
        <v>225528259.6953291</v>
      </c>
      <c r="L19" s="51">
        <f t="shared" si="2"/>
        <v>6585662669.095355</v>
      </c>
      <c r="M19" s="49"/>
      <c r="N19" s="52">
        <f>$N$3*(1+$C$25)^16</f>
        <v>244472970.58284494</v>
      </c>
      <c r="O19" s="75">
        <f>0.04*L19</f>
        <v>263426506.76381421</v>
      </c>
      <c r="P19" s="75">
        <v>0</v>
      </c>
      <c r="Q19" s="75">
        <f>O19-N19</f>
        <v>18953536.180969268</v>
      </c>
      <c r="R19" s="75">
        <f t="shared" si="5"/>
        <v>1781403412.6391954</v>
      </c>
      <c r="S19" s="116">
        <v>16</v>
      </c>
    </row>
    <row r="20" spans="1:19" x14ac:dyDescent="0.2">
      <c r="A20" s="16"/>
      <c r="B20" s="45" t="s">
        <v>176</v>
      </c>
      <c r="C20" s="65">
        <v>2043</v>
      </c>
      <c r="D20" s="46">
        <f t="shared" si="4"/>
        <v>6322236162.3315411</v>
      </c>
      <c r="E20" s="48">
        <v>-4.1489999999999999E-2</v>
      </c>
      <c r="F20" s="49">
        <f>F5</f>
        <v>0.104184</v>
      </c>
      <c r="G20" s="50">
        <f>D20*0.6</f>
        <v>3793341697.3989244</v>
      </c>
      <c r="H20" s="49">
        <f>D20*0.4</f>
        <v>2528894464.9326167</v>
      </c>
      <c r="I20" s="50">
        <f t="shared" si="0"/>
        <v>3635955950.3738427</v>
      </c>
      <c r="J20" s="50">
        <f t="shared" si="1"/>
        <v>263470340.93453974</v>
      </c>
      <c r="K20" s="50">
        <f>G20*'[1]Доходность акций'!$H$14*0.87</f>
        <v>295243143.39145118</v>
      </c>
      <c r="L20" s="51">
        <f t="shared" si="2"/>
        <v>6723563899.6324501</v>
      </c>
      <c r="M20" s="49"/>
      <c r="N20" s="52">
        <f>$N$3*(1+$C$25)^17</f>
        <v>270656025.73226762</v>
      </c>
      <c r="O20" s="75">
        <f>0.04*L20</f>
        <v>268942555.98529804</v>
      </c>
      <c r="P20" s="75">
        <f t="shared" si="6"/>
        <v>1713469.7469695807</v>
      </c>
      <c r="Q20" s="75">
        <v>0</v>
      </c>
      <c r="R20" s="75">
        <f t="shared" si="5"/>
        <v>2066427958.6614666</v>
      </c>
      <c r="S20" s="116">
        <v>17</v>
      </c>
    </row>
    <row r="21" spans="1:19" x14ac:dyDescent="0.2">
      <c r="A21" s="16"/>
      <c r="B21" s="45" t="s">
        <v>176</v>
      </c>
      <c r="C21" s="65">
        <v>2044</v>
      </c>
      <c r="D21" s="119">
        <f>L20-(O20+P20)</f>
        <v>6452907873.9001827</v>
      </c>
      <c r="E21" s="48">
        <v>0.15174000000000001</v>
      </c>
      <c r="F21" s="49">
        <f>F5</f>
        <v>0.104184</v>
      </c>
      <c r="G21" s="50">
        <f>D21*0.6</f>
        <v>3871744724.3401093</v>
      </c>
      <c r="H21" s="49">
        <f>D21*0.4</f>
        <v>2581163149.5600734</v>
      </c>
      <c r="I21" s="50">
        <f t="shared" si="0"/>
        <v>4459243268.8114777</v>
      </c>
      <c r="J21" s="50">
        <f t="shared" si="1"/>
        <v>268915901.57376671</v>
      </c>
      <c r="K21" s="50">
        <f>G21*'[1]Доходность акций'!$H$14*0.87</f>
        <v>301345403.08015591</v>
      </c>
      <c r="L21" s="51">
        <f t="shared" si="2"/>
        <v>7610667723.0254745</v>
      </c>
      <c r="M21" s="49"/>
      <c r="N21" s="52">
        <f>$N$3*(1+$C$25)^18</f>
        <v>299643286.08819354</v>
      </c>
      <c r="O21" s="75">
        <f>0.04*L21</f>
        <v>304426708.92101902</v>
      </c>
      <c r="P21" s="75">
        <v>0</v>
      </c>
      <c r="Q21" s="75">
        <f>O21-N21</f>
        <v>4783422.8328254819</v>
      </c>
      <c r="R21" s="75">
        <f t="shared" si="5"/>
        <v>2402605202.5333786</v>
      </c>
      <c r="S21" s="116">
        <v>18</v>
      </c>
    </row>
    <row r="22" spans="1:19" x14ac:dyDescent="0.2">
      <c r="A22" s="16"/>
      <c r="B22" s="45" t="s">
        <v>176</v>
      </c>
      <c r="C22" s="65">
        <v>2045</v>
      </c>
      <c r="D22" s="46">
        <f t="shared" si="4"/>
        <v>7306241014.1044559</v>
      </c>
      <c r="E22" s="48">
        <v>0.32600000000000001</v>
      </c>
      <c r="F22" s="49">
        <f>F5</f>
        <v>0.104184</v>
      </c>
      <c r="G22" s="50">
        <f>D22*0.6</f>
        <v>4383744608.4626732</v>
      </c>
      <c r="H22" s="49">
        <f>D22*0.4</f>
        <v>2922496405.6417828</v>
      </c>
      <c r="I22" s="50">
        <f t="shared" si="0"/>
        <v>5812845350.8215046</v>
      </c>
      <c r="J22" s="50">
        <f t="shared" si="1"/>
        <v>304477365.52538347</v>
      </c>
      <c r="K22" s="50">
        <f>G22*'[1]Доходность акций'!$H$14*0.87</f>
        <v>341195347.34119022</v>
      </c>
      <c r="L22" s="51">
        <f t="shared" si="2"/>
        <v>9381014469.3298607</v>
      </c>
      <c r="M22" s="51"/>
      <c r="N22" s="52">
        <f>$N$3*(1+$C$25)^19</f>
        <v>331735082.02823901</v>
      </c>
      <c r="O22" s="75">
        <f>0.04*L22</f>
        <v>375240578.77319443</v>
      </c>
      <c r="P22" s="75">
        <v>0</v>
      </c>
      <c r="Q22" s="75">
        <f>O22-N22</f>
        <v>43505496.74495542</v>
      </c>
      <c r="R22" s="75">
        <f t="shared" si="5"/>
        <v>2837488411.1628675</v>
      </c>
      <c r="S22" s="116">
        <v>19</v>
      </c>
    </row>
    <row r="23" spans="1:19" x14ac:dyDescent="0.2">
      <c r="A23" s="16"/>
      <c r="B23" s="45" t="s">
        <v>176</v>
      </c>
      <c r="C23" s="65">
        <v>2046</v>
      </c>
      <c r="D23" s="46">
        <f t="shared" si="4"/>
        <v>9005773890.5566654</v>
      </c>
      <c r="E23" s="48">
        <v>0.15174000000000001</v>
      </c>
      <c r="F23" s="49">
        <f>F5</f>
        <v>0.104184</v>
      </c>
      <c r="G23" s="50">
        <f>D23*0.6</f>
        <v>5403464334.3339987</v>
      </c>
      <c r="H23" s="49">
        <f>D23*0.4</f>
        <v>3602309556.2226663</v>
      </c>
      <c r="I23" s="50">
        <f t="shared" si="0"/>
        <v>6223386012.4258394</v>
      </c>
      <c r="J23" s="50">
        <f t="shared" si="1"/>
        <v>375303018.80550224</v>
      </c>
      <c r="K23" s="50">
        <f>G23*'[1]Доходность акций'!$H$14*0.87</f>
        <v>420562111.86202365</v>
      </c>
      <c r="L23" s="51">
        <f>SUM(I23,K23)</f>
        <v>6643948124.2878628</v>
      </c>
      <c r="M23" s="49"/>
      <c r="N23" s="52">
        <f>$N$3*(1+$C$25)^20</f>
        <v>367263909.31346339</v>
      </c>
      <c r="O23" s="75">
        <f>0.04*L23</f>
        <v>265757924.97151452</v>
      </c>
      <c r="P23" s="75">
        <f t="shared" si="6"/>
        <v>101505984.34194887</v>
      </c>
      <c r="Q23" s="75">
        <v>0</v>
      </c>
      <c r="R23" s="75">
        <f t="shared" si="5"/>
        <v>3291486556.948926</v>
      </c>
      <c r="S23" s="116">
        <v>20</v>
      </c>
    </row>
    <row r="24" spans="1:19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9" x14ac:dyDescent="0.2">
      <c r="A25" s="16"/>
      <c r="B25" s="58" t="s">
        <v>61</v>
      </c>
      <c r="C25" s="59">
        <v>0.1071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9" x14ac:dyDescent="0.2">
      <c r="A26" s="16"/>
      <c r="B26" s="58" t="s">
        <v>188</v>
      </c>
      <c r="C26" s="59">
        <v>0.13</v>
      </c>
      <c r="D26" s="16"/>
      <c r="E26" s="16"/>
      <c r="F26" s="16"/>
      <c r="G26" s="61"/>
      <c r="H26" s="25"/>
      <c r="I26" s="16"/>
      <c r="J26" s="16"/>
      <c r="K26" s="16"/>
      <c r="L26" s="16"/>
      <c r="M26" s="16"/>
      <c r="N26" s="16"/>
    </row>
    <row r="27" spans="1:19" x14ac:dyDescent="0.2">
      <c r="A27" s="16"/>
    </row>
    <row r="28" spans="1:19" x14ac:dyDescent="0.2">
      <c r="A28" s="16"/>
    </row>
    <row r="30" spans="1:19" x14ac:dyDescent="0.2">
      <c r="B30" s="137" t="s">
        <v>214</v>
      </c>
      <c r="C30" s="138"/>
      <c r="D30" s="138"/>
    </row>
    <row r="31" spans="1:19" x14ac:dyDescent="0.2">
      <c r="B31" s="139"/>
      <c r="C31" s="139"/>
      <c r="D31" s="139"/>
      <c r="F31" s="13"/>
      <c r="H31" s="13"/>
      <c r="I31" s="1"/>
      <c r="J31" s="1"/>
    </row>
    <row r="32" spans="1:19" ht="27.75" x14ac:dyDescent="0.2">
      <c r="B32" s="46" t="s">
        <v>176</v>
      </c>
      <c r="C32" s="103" t="s">
        <v>176</v>
      </c>
      <c r="D32" s="104" t="s">
        <v>177</v>
      </c>
      <c r="E32" s="105" t="s">
        <v>178</v>
      </c>
      <c r="F32" s="106" t="s">
        <v>179</v>
      </c>
      <c r="G32" s="106" t="s">
        <v>180</v>
      </c>
      <c r="H32" s="106" t="s">
        <v>181</v>
      </c>
      <c r="I32" s="106" t="s">
        <v>182</v>
      </c>
      <c r="J32" s="106" t="s">
        <v>183</v>
      </c>
      <c r="K32" s="106" t="s">
        <v>184</v>
      </c>
      <c r="L32" s="106" t="s">
        <v>185</v>
      </c>
      <c r="M32" s="99" t="s">
        <v>186</v>
      </c>
      <c r="N32" s="107" t="s">
        <v>187</v>
      </c>
      <c r="O32" s="108" t="s">
        <v>243</v>
      </c>
      <c r="P32" s="108" t="s">
        <v>244</v>
      </c>
      <c r="Q32" s="108" t="s">
        <v>241</v>
      </c>
      <c r="R32" s="108" t="s">
        <v>242</v>
      </c>
      <c r="S32" s="109"/>
    </row>
    <row r="33" spans="2:19" x14ac:dyDescent="0.2">
      <c r="B33" s="110" t="s">
        <v>176</v>
      </c>
      <c r="C33" s="111">
        <v>2026</v>
      </c>
      <c r="D33" s="102">
        <v>656600000</v>
      </c>
      <c r="E33" s="75">
        <v>6.7409999999999998E-2</v>
      </c>
      <c r="F33" s="75">
        <v>0.137934</v>
      </c>
      <c r="G33" s="96">
        <f>D33*0.6</f>
        <v>393960000</v>
      </c>
      <c r="H33" s="75">
        <f>D33*0.4</f>
        <v>262640000</v>
      </c>
      <c r="I33" s="96">
        <f>G33*(1+E33)</f>
        <v>420516843.59999996</v>
      </c>
      <c r="J33" s="96">
        <f>H33*F33</f>
        <v>36226985.759999998</v>
      </c>
      <c r="K33" s="96">
        <f>G33*'[1]Доходность акций'!$H$14*0.87</f>
        <v>30662671.082399998</v>
      </c>
      <c r="L33" s="75">
        <f>SUM(H33:K33)</f>
        <v>750046500.44239986</v>
      </c>
      <c r="M33" s="112">
        <v>281400000</v>
      </c>
      <c r="N33" s="113">
        <v>36000000</v>
      </c>
      <c r="O33" s="75">
        <f>0.04*L33</f>
        <v>30001860.017695993</v>
      </c>
      <c r="P33" s="75"/>
      <c r="Q33" s="75">
        <f>O33-P33</f>
        <v>30001860.017695993</v>
      </c>
      <c r="R33" s="75">
        <f>Q33*1.16</f>
        <v>34802157.620527349</v>
      </c>
      <c r="S33" s="109"/>
    </row>
    <row r="34" spans="2:19" x14ac:dyDescent="0.2">
      <c r="B34" s="110" t="s">
        <v>176</v>
      </c>
      <c r="C34" s="111">
        <v>2027</v>
      </c>
      <c r="D34" s="46">
        <f>L33-(O33+P33)</f>
        <v>720044640.42470384</v>
      </c>
      <c r="E34" s="75">
        <v>0.32600000000000001</v>
      </c>
      <c r="F34" s="114">
        <v>9.7434000000000007E-2</v>
      </c>
      <c r="G34" s="96">
        <f>D34*0.6</f>
        <v>432026784.25482231</v>
      </c>
      <c r="H34" s="75">
        <f>D34*0.4</f>
        <v>288017856.16988152</v>
      </c>
      <c r="I34" s="96">
        <f t="shared" ref="I34:I53" si="7">G34*(1+E34)</f>
        <v>572867515.92189443</v>
      </c>
      <c r="J34" s="96">
        <f t="shared" ref="J34:J53" si="8">H34*F34</f>
        <v>28062731.798056237</v>
      </c>
      <c r="K34" s="96">
        <f>G34*'[1]Доходность акций'!$H$14*0.87</f>
        <v>33625482.750514269</v>
      </c>
      <c r="L34" s="75">
        <f t="shared" ref="L34:L52" si="9">SUM(H34:K34)</f>
        <v>922573586.64034641</v>
      </c>
      <c r="M34" s="75">
        <f>M33-N33</f>
        <v>245400000</v>
      </c>
      <c r="N34" s="100">
        <f>$N$3*(1+$C$25)^1</f>
        <v>53140800</v>
      </c>
      <c r="O34" s="75">
        <f>0.04*L34</f>
        <v>36902943.465613857</v>
      </c>
      <c r="P34" s="75"/>
      <c r="Q34" s="75">
        <f t="shared" ref="Q34:Q53" si="10">O34-P34</f>
        <v>36902943.465613857</v>
      </c>
      <c r="R34" s="75">
        <f>(R33+Q34)*1.16</f>
        <v>83177917.259923786</v>
      </c>
      <c r="S34" s="116">
        <v>1</v>
      </c>
    </row>
    <row r="35" spans="2:19" x14ac:dyDescent="0.2">
      <c r="B35" s="110" t="s">
        <v>176</v>
      </c>
      <c r="C35" s="111">
        <v>2028</v>
      </c>
      <c r="D35" s="46">
        <f t="shared" ref="D35:D53" si="11">L34-(O34+P34)</f>
        <v>885670643.17473257</v>
      </c>
      <c r="E35" s="75">
        <v>0.15174000000000001</v>
      </c>
      <c r="F35" s="75">
        <v>0.104184</v>
      </c>
      <c r="G35" s="96">
        <f>D35*0.6</f>
        <v>531402385.90483952</v>
      </c>
      <c r="H35" s="75">
        <f>D35*0.4</f>
        <v>354268257.26989305</v>
      </c>
      <c r="I35" s="96">
        <f t="shared" si="7"/>
        <v>612037383.94203985</v>
      </c>
      <c r="J35" s="96">
        <f t="shared" si="8"/>
        <v>36909084.115406536</v>
      </c>
      <c r="K35" s="96">
        <f>G35*'[1]Доходность акций'!$H$14*0.87</f>
        <v>41360078.615602307</v>
      </c>
      <c r="L35" s="75">
        <f t="shared" si="9"/>
        <v>1044574803.9429417</v>
      </c>
      <c r="M35" s="75">
        <f>M34-N34</f>
        <v>192259200</v>
      </c>
      <c r="N35" s="100">
        <f>$N$3*(1+$C$25)^2</f>
        <v>58832179.68</v>
      </c>
      <c r="O35" s="75">
        <f>0.04*L35</f>
        <v>41782992.157717668</v>
      </c>
      <c r="P35" s="75"/>
      <c r="Q35" s="75">
        <f t="shared" si="10"/>
        <v>41782992.157717668</v>
      </c>
      <c r="R35" s="75">
        <f t="shared" ref="R35:R53" si="12">(R34+Q35)*1.16</f>
        <v>144954654.92446408</v>
      </c>
      <c r="S35" s="116">
        <v>2</v>
      </c>
    </row>
    <row r="36" spans="2:19" x14ac:dyDescent="0.2">
      <c r="B36" s="110" t="s">
        <v>176</v>
      </c>
      <c r="C36" s="111">
        <v>2029</v>
      </c>
      <c r="D36" s="46">
        <f t="shared" si="11"/>
        <v>1002791811.785224</v>
      </c>
      <c r="E36" s="75">
        <v>0.15174000000000001</v>
      </c>
      <c r="F36" s="75">
        <f>F35</f>
        <v>0.104184</v>
      </c>
      <c r="G36" s="96">
        <f>D36*0.6</f>
        <v>601675087.07113433</v>
      </c>
      <c r="H36" s="75">
        <f>D36*0.4</f>
        <v>401116724.71408963</v>
      </c>
      <c r="I36" s="96">
        <f t="shared" si="7"/>
        <v>692973264.78330827</v>
      </c>
      <c r="J36" s="96">
        <f t="shared" si="8"/>
        <v>41789944.847612716</v>
      </c>
      <c r="K36" s="96">
        <f>G36*'[1]Доходность акций'!$H$14*0.87</f>
        <v>46829539.276415296</v>
      </c>
      <c r="L36" s="75">
        <f t="shared" si="9"/>
        <v>1182709473.6214259</v>
      </c>
      <c r="M36" s="75">
        <f t="shared" ref="M36" si="13">M35-N35</f>
        <v>133427020.31999999</v>
      </c>
      <c r="N36" s="100">
        <f>$N$3*(1+$C$25)^3</f>
        <v>65133106.123728</v>
      </c>
      <c r="O36" s="75">
        <f>0.04*L36</f>
        <v>47308378.944857039</v>
      </c>
      <c r="P36" s="75"/>
      <c r="Q36" s="75">
        <f t="shared" si="10"/>
        <v>47308378.944857039</v>
      </c>
      <c r="R36" s="75">
        <f t="shared" si="12"/>
        <v>223025119.28841248</v>
      </c>
      <c r="S36" s="116">
        <v>3</v>
      </c>
    </row>
    <row r="37" spans="2:19" x14ac:dyDescent="0.2">
      <c r="B37" s="110" t="s">
        <v>176</v>
      </c>
      <c r="C37" s="111">
        <v>2030</v>
      </c>
      <c r="D37" s="46">
        <f t="shared" si="11"/>
        <v>1135401094.6765687</v>
      </c>
      <c r="E37" s="75">
        <v>-4.1489999999999999E-2</v>
      </c>
      <c r="F37" s="75">
        <f>F35</f>
        <v>0.104184</v>
      </c>
      <c r="G37" s="96">
        <f>D37*0.6</f>
        <v>681240656.80594122</v>
      </c>
      <c r="H37" s="75">
        <f>D37*0.4</f>
        <v>454160437.87062752</v>
      </c>
      <c r="I37" s="96">
        <f t="shared" si="7"/>
        <v>652975981.95506275</v>
      </c>
      <c r="J37" s="96">
        <f t="shared" si="8"/>
        <v>47316251.059113458</v>
      </c>
      <c r="K37" s="96">
        <f>G37*'[1]Доходность акций'!$H$14*0.87</f>
        <v>53022281.926080599</v>
      </c>
      <c r="L37" s="75">
        <f t="shared" si="9"/>
        <v>1207474952.8108845</v>
      </c>
      <c r="M37" s="75">
        <f>M36-N36</f>
        <v>68293914.196271986</v>
      </c>
      <c r="N37" s="100">
        <f>$N$3*(1+$C$25)^4</f>
        <v>72108861.789579272</v>
      </c>
      <c r="O37" s="75">
        <f>0.04*L37</f>
        <v>48298998.112435378</v>
      </c>
      <c r="P37" s="75"/>
      <c r="Q37" s="75">
        <f t="shared" si="10"/>
        <v>48298998.112435378</v>
      </c>
      <c r="R37" s="75">
        <f t="shared" si="12"/>
        <v>314735976.18498349</v>
      </c>
      <c r="S37" s="116">
        <v>4</v>
      </c>
    </row>
    <row r="38" spans="2:19" x14ac:dyDescent="0.2">
      <c r="B38" s="110" t="s">
        <v>176</v>
      </c>
      <c r="C38" s="111">
        <v>2031</v>
      </c>
      <c r="D38" s="46">
        <f t="shared" si="11"/>
        <v>1159175954.6984491</v>
      </c>
      <c r="E38" s="98">
        <v>0.45882000000000001</v>
      </c>
      <c r="F38" s="98">
        <f>F35</f>
        <v>0.104184</v>
      </c>
      <c r="G38" s="97">
        <f>D38*0.6</f>
        <v>695505572.8190695</v>
      </c>
      <c r="H38" s="98">
        <f>D38*0.4</f>
        <v>463670381.87937969</v>
      </c>
      <c r="I38" s="97">
        <f t="shared" si="7"/>
        <v>1014617439.739915</v>
      </c>
      <c r="J38" s="97">
        <f>H38*F38</f>
        <v>48307035.065721296</v>
      </c>
      <c r="K38" s="97">
        <f>G38*'[1]Доходность акций'!$H$14*0.87</f>
        <v>54132548.01331944</v>
      </c>
      <c r="L38" s="98">
        <f>SUM(H38:K38)</f>
        <v>1580727404.6983354</v>
      </c>
      <c r="M38" s="75">
        <f>0</f>
        <v>0</v>
      </c>
      <c r="N38" s="100">
        <f>$N$3*(1+$C$25)^5</f>
        <v>79831720.887243196</v>
      </c>
      <c r="O38" s="75">
        <f>0.04*L38</f>
        <v>63229096.187933415</v>
      </c>
      <c r="P38" s="75">
        <f>N38-O38</f>
        <v>16602624.699309781</v>
      </c>
      <c r="Q38" s="75">
        <f t="shared" si="10"/>
        <v>46626471.488623634</v>
      </c>
      <c r="R38" s="75">
        <f t="shared" si="12"/>
        <v>419180439.30138421</v>
      </c>
      <c r="S38" s="116">
        <v>5</v>
      </c>
    </row>
    <row r="39" spans="2:19" x14ac:dyDescent="0.2">
      <c r="B39" s="110" t="s">
        <v>176</v>
      </c>
      <c r="C39" s="111">
        <v>2032</v>
      </c>
      <c r="D39" s="46">
        <f t="shared" si="11"/>
        <v>1500895683.8110921</v>
      </c>
      <c r="E39" s="75">
        <v>6.7409999999999998E-2</v>
      </c>
      <c r="F39" s="75">
        <f>F35</f>
        <v>0.104184</v>
      </c>
      <c r="G39" s="96">
        <f>D39*0.6</f>
        <v>900537410.28665531</v>
      </c>
      <c r="H39" s="75">
        <f>D39*0.4</f>
        <v>600358273.52443683</v>
      </c>
      <c r="I39" s="96">
        <f t="shared" si="7"/>
        <v>961242637.11407876</v>
      </c>
      <c r="J39" s="96">
        <f t="shared" si="8"/>
        <v>62547726.368869923</v>
      </c>
      <c r="K39" s="96">
        <f>G39*'[1]Доходность акций'!$H$14*0.87</f>
        <v>70090573.685186327</v>
      </c>
      <c r="L39" s="75">
        <f>SUM(H39:K39)</f>
        <v>1694239210.6925719</v>
      </c>
      <c r="M39" s="101">
        <v>0</v>
      </c>
      <c r="N39" s="100">
        <f>$N$3*(1+$C$25)^6</f>
        <v>88381698.194266945</v>
      </c>
      <c r="O39" s="75">
        <f>0.04*L39</f>
        <v>67769568.427702874</v>
      </c>
      <c r="P39" s="75">
        <f>N39-O39</f>
        <v>20612129.766564071</v>
      </c>
      <c r="Q39" s="75">
        <f t="shared" si="10"/>
        <v>47157438.661138803</v>
      </c>
      <c r="R39" s="75">
        <f t="shared" si="12"/>
        <v>540951938.43652666</v>
      </c>
      <c r="S39" s="116">
        <v>6</v>
      </c>
    </row>
    <row r="40" spans="2:19" x14ac:dyDescent="0.2">
      <c r="B40" s="110" t="s">
        <v>176</v>
      </c>
      <c r="C40" s="111">
        <v>2033</v>
      </c>
      <c r="D40" s="46">
        <f t="shared" si="11"/>
        <v>1605857512.4983048</v>
      </c>
      <c r="E40" s="75">
        <v>0.14742</v>
      </c>
      <c r="F40" s="75">
        <f>F35</f>
        <v>0.104184</v>
      </c>
      <c r="G40" s="96">
        <f>D40*0.6</f>
        <v>963514507.49898291</v>
      </c>
      <c r="H40" s="75">
        <f>D40*0.4</f>
        <v>642343004.99932194</v>
      </c>
      <c r="I40" s="96">
        <f t="shared" si="7"/>
        <v>1105555816.1944828</v>
      </c>
      <c r="J40" s="96">
        <f t="shared" si="8"/>
        <v>66921863.632849358</v>
      </c>
      <c r="K40" s="96">
        <f>G40*'[1]Доходность акций'!$H$14*0.87</f>
        <v>74992203.336790383</v>
      </c>
      <c r="L40" s="75">
        <f t="shared" si="9"/>
        <v>1889812888.1634445</v>
      </c>
      <c r="M40" s="75"/>
      <c r="N40" s="100">
        <f>$N$3*(1+$C$25)^7</f>
        <v>97847378.070872948</v>
      </c>
      <c r="O40" s="75">
        <f>0.04*L40</f>
        <v>75592515.526537776</v>
      </c>
      <c r="P40" s="75">
        <f t="shared" ref="P40:P41" si="14">N40-O40</f>
        <v>22254862.544335172</v>
      </c>
      <c r="Q40" s="75">
        <f t="shared" si="10"/>
        <v>53337652.982202604</v>
      </c>
      <c r="R40" s="75">
        <f t="shared" si="12"/>
        <v>689375926.04572594</v>
      </c>
      <c r="S40" s="116">
        <v>7</v>
      </c>
    </row>
    <row r="41" spans="2:19" x14ac:dyDescent="0.2">
      <c r="B41" s="110" t="s">
        <v>176</v>
      </c>
      <c r="C41" s="111">
        <v>2034</v>
      </c>
      <c r="D41" s="46">
        <f t="shared" si="11"/>
        <v>1791965510.0925715</v>
      </c>
      <c r="E41" s="75">
        <v>0.45882000000000001</v>
      </c>
      <c r="F41" s="75">
        <f>F35</f>
        <v>0.104184</v>
      </c>
      <c r="G41" s="96">
        <f>D41*0.6</f>
        <v>1075179306.0555429</v>
      </c>
      <c r="H41" s="75">
        <f>D41*0.4</f>
        <v>716786204.03702867</v>
      </c>
      <c r="I41" s="96">
        <f t="shared" si="7"/>
        <v>1568493075.2599471</v>
      </c>
      <c r="J41" s="96">
        <f t="shared" si="8"/>
        <v>74677653.88139379</v>
      </c>
      <c r="K41" s="96">
        <f>G41*'[1]Доходность акций'!$H$14*0.87</f>
        <v>83683291.238156632</v>
      </c>
      <c r="L41" s="75">
        <f t="shared" si="9"/>
        <v>2443640224.4165263</v>
      </c>
      <c r="M41" s="75"/>
      <c r="N41" s="100">
        <f>$N$3*(1+$C$25)^8</f>
        <v>108326832.26226343</v>
      </c>
      <c r="O41" s="75">
        <f>0.04*L41</f>
        <v>97745608.976661056</v>
      </c>
      <c r="P41" s="75">
        <f t="shared" si="14"/>
        <v>10581223.285602376</v>
      </c>
      <c r="Q41" s="75">
        <f t="shared" si="10"/>
        <v>87164385.69105868</v>
      </c>
      <c r="R41" s="75">
        <f t="shared" si="12"/>
        <v>900786761.61467004</v>
      </c>
      <c r="S41" s="116">
        <v>8</v>
      </c>
    </row>
    <row r="42" spans="2:19" x14ac:dyDescent="0.2">
      <c r="B42" s="110" t="s">
        <v>176</v>
      </c>
      <c r="C42" s="111">
        <v>2035</v>
      </c>
      <c r="D42" s="46">
        <f t="shared" si="11"/>
        <v>2335313392.154263</v>
      </c>
      <c r="E42" s="75">
        <v>0.32600000000000001</v>
      </c>
      <c r="F42" s="75">
        <f>F35</f>
        <v>0.104184</v>
      </c>
      <c r="G42" s="96">
        <f>D42*0.6</f>
        <v>1401188035.2925577</v>
      </c>
      <c r="H42" s="75">
        <f>D42*0.4</f>
        <v>934125356.8617053</v>
      </c>
      <c r="I42" s="96">
        <f t="shared" si="7"/>
        <v>1857975334.7979317</v>
      </c>
      <c r="J42" s="96">
        <f t="shared" si="8"/>
        <v>97320916.179279909</v>
      </c>
      <c r="K42" s="96">
        <f>G42*'[1]Доходность акций'!$H$14*0.87</f>
        <v>109057183.09160823</v>
      </c>
      <c r="L42" s="75">
        <f t="shared" si="9"/>
        <v>2998478790.9305248</v>
      </c>
      <c r="M42" s="75"/>
      <c r="N42" s="100">
        <f>$N$3*(1+$C$25)^9</f>
        <v>119928635.99755184</v>
      </c>
      <c r="O42" s="75">
        <f>0.04*L42</f>
        <v>119939151.63722099</v>
      </c>
      <c r="P42" s="75">
        <v>0</v>
      </c>
      <c r="Q42" s="75">
        <f t="shared" si="10"/>
        <v>119939151.63722099</v>
      </c>
      <c r="R42" s="75">
        <f t="shared" si="12"/>
        <v>1184042059.3721936</v>
      </c>
      <c r="S42" s="116">
        <v>9</v>
      </c>
    </row>
    <row r="43" spans="2:19" x14ac:dyDescent="0.2">
      <c r="B43" s="110" t="s">
        <v>176</v>
      </c>
      <c r="C43" s="111">
        <v>2036</v>
      </c>
      <c r="D43" s="46">
        <f t="shared" si="11"/>
        <v>2878539639.293304</v>
      </c>
      <c r="E43" s="75">
        <v>-4.1489999999999999E-2</v>
      </c>
      <c r="F43" s="75">
        <f>F35</f>
        <v>0.104184</v>
      </c>
      <c r="G43" s="96">
        <f>D43*0.6</f>
        <v>1727123783.5759823</v>
      </c>
      <c r="H43" s="75">
        <f>D43*0.4</f>
        <v>1151415855.7173216</v>
      </c>
      <c r="I43" s="96">
        <f t="shared" si="7"/>
        <v>1655465417.7954147</v>
      </c>
      <c r="J43" s="96">
        <f t="shared" si="8"/>
        <v>119959109.51205343</v>
      </c>
      <c r="K43" s="96">
        <f>G43*'[1]Доходность акций'!$H$14*0.87</f>
        <v>134425394.69585884</v>
      </c>
      <c r="L43" s="75">
        <f t="shared" si="9"/>
        <v>3061265777.7206488</v>
      </c>
      <c r="M43" s="75"/>
      <c r="N43" s="100">
        <f>$N$3*(1+$C$25)^10</f>
        <v>132772992.91288964</v>
      </c>
      <c r="O43" s="75">
        <f>0.04*L43</f>
        <v>122450631.10882595</v>
      </c>
      <c r="P43" s="75">
        <f>N43-O43</f>
        <v>10322361.804063693</v>
      </c>
      <c r="Q43" s="75">
        <f t="shared" si="10"/>
        <v>112128269.30476226</v>
      </c>
      <c r="R43" s="75">
        <f t="shared" si="12"/>
        <v>1503557581.2652688</v>
      </c>
      <c r="S43" s="116">
        <v>10</v>
      </c>
    </row>
    <row r="44" spans="2:19" x14ac:dyDescent="0.2">
      <c r="B44" s="110" t="s">
        <v>176</v>
      </c>
      <c r="C44" s="111">
        <v>2037</v>
      </c>
      <c r="D44" s="46">
        <f t="shared" si="11"/>
        <v>2928492784.8077593</v>
      </c>
      <c r="E44" s="75">
        <v>6.7409999999999998E-2</v>
      </c>
      <c r="F44" s="75">
        <f>F35</f>
        <v>0.104184</v>
      </c>
      <c r="G44" s="96">
        <f>D44*0.6</f>
        <v>1757095670.8846555</v>
      </c>
      <c r="H44" s="75">
        <f>D44*0.4</f>
        <v>1171397113.9231038</v>
      </c>
      <c r="I44" s="96">
        <f t="shared" si="7"/>
        <v>1875541490.05899</v>
      </c>
      <c r="J44" s="96">
        <f t="shared" si="8"/>
        <v>122040836.91696465</v>
      </c>
      <c r="K44" s="96">
        <f>G44*'[1]Доходность акций'!$H$14*0.87</f>
        <v>136758164.83055425</v>
      </c>
      <c r="L44" s="75">
        <f t="shared" si="9"/>
        <v>3305737605.7296124</v>
      </c>
      <c r="M44" s="75"/>
      <c r="N44" s="100">
        <f>$N$3*(1+$C$25)^11</f>
        <v>146992980.45386013</v>
      </c>
      <c r="O44" s="75">
        <f>0.04*L44</f>
        <v>132229504.22918449</v>
      </c>
      <c r="P44" s="75">
        <f>N44-O44</f>
        <v>14763476.22467564</v>
      </c>
      <c r="Q44" s="75">
        <f t="shared" si="10"/>
        <v>117466028.00450885</v>
      </c>
      <c r="R44" s="75">
        <f t="shared" si="12"/>
        <v>1880387386.7529421</v>
      </c>
      <c r="S44" s="116">
        <v>11</v>
      </c>
    </row>
    <row r="45" spans="2:19" x14ac:dyDescent="0.2">
      <c r="B45" s="110" t="s">
        <v>176</v>
      </c>
      <c r="C45" s="111">
        <v>2038</v>
      </c>
      <c r="D45" s="46">
        <f t="shared" si="11"/>
        <v>3158744625.2757521</v>
      </c>
      <c r="E45" s="75">
        <v>6.7409999999999998E-2</v>
      </c>
      <c r="F45" s="75">
        <f>F35</f>
        <v>0.104184</v>
      </c>
      <c r="G45" s="96">
        <f>D45*0.6</f>
        <v>1895246775.1654513</v>
      </c>
      <c r="H45" s="75">
        <f>D45*0.4</f>
        <v>1263497850.1103008</v>
      </c>
      <c r="I45" s="96">
        <f t="shared" si="7"/>
        <v>2023005360.2793543</v>
      </c>
      <c r="J45" s="96">
        <f t="shared" si="8"/>
        <v>131636260.01589158</v>
      </c>
      <c r="K45" s="96">
        <f>G45*'[1]Доходность акций'!$H$14*0.87</f>
        <v>147510733.28987089</v>
      </c>
      <c r="L45" s="75">
        <f t="shared" si="9"/>
        <v>3565650203.6954174</v>
      </c>
      <c r="M45" s="75"/>
      <c r="N45" s="100">
        <f>$N$3*(1+$C$25)^12</f>
        <v>162735928.66046855</v>
      </c>
      <c r="O45" s="75">
        <f>0.04*L45</f>
        <v>142626008.14781669</v>
      </c>
      <c r="P45" s="75">
        <f t="shared" ref="P45:P48" si="15">N45-O45</f>
        <v>20109920.512651861</v>
      </c>
      <c r="Q45" s="75">
        <f t="shared" si="10"/>
        <v>122516087.63516483</v>
      </c>
      <c r="R45" s="75">
        <f t="shared" si="12"/>
        <v>2323368030.2902036</v>
      </c>
      <c r="S45" s="116">
        <v>12</v>
      </c>
    </row>
    <row r="46" spans="2:19" x14ac:dyDescent="0.2">
      <c r="B46" s="110" t="s">
        <v>176</v>
      </c>
      <c r="C46" s="111">
        <v>2039</v>
      </c>
      <c r="D46" s="46">
        <f t="shared" si="11"/>
        <v>3402914275.0349488</v>
      </c>
      <c r="E46" s="75">
        <v>6.7409999999999998E-2</v>
      </c>
      <c r="F46" s="75">
        <f>F35</f>
        <v>0.104184</v>
      </c>
      <c r="G46" s="96">
        <f>D46*0.6</f>
        <v>2041748565.0209692</v>
      </c>
      <c r="H46" s="75">
        <f>D46*0.4</f>
        <v>1361165710.0139797</v>
      </c>
      <c r="I46" s="96">
        <f t="shared" si="7"/>
        <v>2179382835.7890325</v>
      </c>
      <c r="J46" s="96">
        <f t="shared" si="8"/>
        <v>141811688.33209646</v>
      </c>
      <c r="K46" s="96">
        <f>G46*'[1]Доходность акций'!$H$14*0.87</f>
        <v>158913251.80779815</v>
      </c>
      <c r="L46" s="75">
        <f t="shared" si="9"/>
        <v>3841273485.9429064</v>
      </c>
      <c r="M46" s="75"/>
      <c r="N46" s="100">
        <f>$N$3*(1+$C$25)^13</f>
        <v>180164946.62000471</v>
      </c>
      <c r="O46" s="75">
        <f>0.04*L46</f>
        <v>153650939.43771625</v>
      </c>
      <c r="P46" s="75">
        <f t="shared" si="15"/>
        <v>26514007.182288468</v>
      </c>
      <c r="Q46" s="75">
        <f t="shared" si="10"/>
        <v>127136932.25542778</v>
      </c>
      <c r="R46" s="75">
        <f t="shared" si="12"/>
        <v>2842585756.5529323</v>
      </c>
      <c r="S46" s="116">
        <v>13</v>
      </c>
    </row>
    <row r="47" spans="2:19" x14ac:dyDescent="0.2">
      <c r="B47" s="115" t="s">
        <v>176</v>
      </c>
      <c r="C47" s="111">
        <v>2040</v>
      </c>
      <c r="D47" s="46">
        <f t="shared" si="11"/>
        <v>3661108539.3229017</v>
      </c>
      <c r="E47" s="75">
        <v>6.7409999999999998E-2</v>
      </c>
      <c r="F47" s="75">
        <f>F35</f>
        <v>0.104184</v>
      </c>
      <c r="G47" s="96">
        <f>D47*0.6</f>
        <v>2196665123.5937409</v>
      </c>
      <c r="H47" s="75">
        <f>D47*0.4</f>
        <v>1464443415.7291608</v>
      </c>
      <c r="I47" s="96">
        <f t="shared" si="7"/>
        <v>2344742319.5751948</v>
      </c>
      <c r="J47" s="96">
        <f t="shared" si="8"/>
        <v>152571572.82432687</v>
      </c>
      <c r="K47" s="96">
        <f>G47*'[1]Доходность акций'!$H$14*0.87</f>
        <v>170970708.09964061</v>
      </c>
      <c r="L47" s="75">
        <f t="shared" si="9"/>
        <v>4132728016.228323</v>
      </c>
      <c r="M47" s="75"/>
      <c r="N47" s="100">
        <f>$N$3*(1+$C$25)^14</f>
        <v>199460612.40300724</v>
      </c>
      <c r="O47" s="75">
        <f>0.04*L47</f>
        <v>165309120.64913294</v>
      </c>
      <c r="P47" s="75">
        <f t="shared" si="15"/>
        <v>34151491.753874302</v>
      </c>
      <c r="Q47" s="75">
        <f t="shared" si="10"/>
        <v>131157628.89525864</v>
      </c>
      <c r="R47" s="75">
        <f t="shared" si="12"/>
        <v>3449542327.1199012</v>
      </c>
      <c r="S47" s="116">
        <v>14</v>
      </c>
    </row>
    <row r="48" spans="2:19" x14ac:dyDescent="0.2">
      <c r="B48" s="115" t="s">
        <v>176</v>
      </c>
      <c r="C48" s="111">
        <v>2041</v>
      </c>
      <c r="D48" s="46">
        <f t="shared" si="11"/>
        <v>3933267403.825316</v>
      </c>
      <c r="E48" s="75">
        <v>0.32600000000000001</v>
      </c>
      <c r="F48" s="75">
        <f>F35</f>
        <v>0.104184</v>
      </c>
      <c r="G48" s="96">
        <f>D48*0.6</f>
        <v>2359960442.2951894</v>
      </c>
      <c r="H48" s="75">
        <f>D48*0.4</f>
        <v>1573306961.5301266</v>
      </c>
      <c r="I48" s="96">
        <f t="shared" si="7"/>
        <v>3129307546.4834213</v>
      </c>
      <c r="J48" s="96">
        <f t="shared" si="8"/>
        <v>163913412.48005471</v>
      </c>
      <c r="K48" s="96">
        <f>G48*'[1]Доходность акций'!$H$14*0.87</f>
        <v>183680299.54709262</v>
      </c>
      <c r="L48" s="75">
        <f t="shared" si="9"/>
        <v>5050208220.0406952</v>
      </c>
      <c r="M48" s="75"/>
      <c r="N48" s="100">
        <f>$N$3*(1+$C$25)^15</f>
        <v>220822843.99136928</v>
      </c>
      <c r="O48" s="75">
        <f>0.04*L48</f>
        <v>202008328.80162781</v>
      </c>
      <c r="P48" s="75">
        <f t="shared" si="15"/>
        <v>18814515.189741462</v>
      </c>
      <c r="Q48" s="75">
        <f t="shared" si="10"/>
        <v>183193813.61188635</v>
      </c>
      <c r="R48" s="75">
        <f t="shared" si="12"/>
        <v>4213973923.2488732</v>
      </c>
      <c r="S48" s="116">
        <v>15</v>
      </c>
    </row>
    <row r="49" spans="2:19" x14ac:dyDescent="0.2">
      <c r="B49" s="110" t="s">
        <v>176</v>
      </c>
      <c r="C49" s="111">
        <v>2042</v>
      </c>
      <c r="D49" s="46">
        <f t="shared" si="11"/>
        <v>4829385376.0493259</v>
      </c>
      <c r="E49" s="75">
        <v>0.45882000000000001</v>
      </c>
      <c r="F49" s="75">
        <f>F35</f>
        <v>0.104184</v>
      </c>
      <c r="G49" s="96">
        <f>D49*0.6</f>
        <v>2897631225.6295953</v>
      </c>
      <c r="H49" s="75">
        <f>D49*0.4</f>
        <v>1931754150.4197304</v>
      </c>
      <c r="I49" s="96">
        <f t="shared" si="7"/>
        <v>4227122384.5729661</v>
      </c>
      <c r="J49" s="96">
        <f t="shared" si="8"/>
        <v>201257874.4073292</v>
      </c>
      <c r="K49" s="96">
        <f>G49*'[1]Доходность акций'!$H$14*0.87</f>
        <v>225528259.6953291</v>
      </c>
      <c r="L49" s="75">
        <f t="shared" si="9"/>
        <v>6585662669.095355</v>
      </c>
      <c r="M49" s="75"/>
      <c r="N49" s="100">
        <f>$N$3*(1+$C$25)^16</f>
        <v>244472970.58284494</v>
      </c>
      <c r="O49" s="75">
        <f>0.04*L49</f>
        <v>263426506.76381421</v>
      </c>
      <c r="P49" s="75">
        <v>0</v>
      </c>
      <c r="Q49" s="75">
        <f t="shared" si="10"/>
        <v>263426506.76381421</v>
      </c>
      <c r="R49" s="75">
        <f t="shared" si="12"/>
        <v>5193784498.8147173</v>
      </c>
      <c r="S49" s="116">
        <v>16</v>
      </c>
    </row>
    <row r="50" spans="2:19" x14ac:dyDescent="0.2">
      <c r="B50" s="110" t="s">
        <v>176</v>
      </c>
      <c r="C50" s="111">
        <v>2043</v>
      </c>
      <c r="D50" s="46">
        <f t="shared" si="11"/>
        <v>6322236162.3315411</v>
      </c>
      <c r="E50" s="75">
        <v>-4.1489999999999999E-2</v>
      </c>
      <c r="F50" s="75">
        <f>F35</f>
        <v>0.104184</v>
      </c>
      <c r="G50" s="96">
        <f>D50*0.6</f>
        <v>3793341697.3989244</v>
      </c>
      <c r="H50" s="75">
        <f>D50*0.4</f>
        <v>2528894464.9326167</v>
      </c>
      <c r="I50" s="96">
        <f t="shared" si="7"/>
        <v>3635955950.3738427</v>
      </c>
      <c r="J50" s="96">
        <f t="shared" si="8"/>
        <v>263470340.93453974</v>
      </c>
      <c r="K50" s="96">
        <f>G50*'[1]Доходность акций'!$H$14*0.87</f>
        <v>295243143.39145118</v>
      </c>
      <c r="L50" s="75">
        <f t="shared" si="9"/>
        <v>6723563899.6324501</v>
      </c>
      <c r="M50" s="75"/>
      <c r="N50" s="100">
        <f>$N$3*(1+$C$25)^17</f>
        <v>270656025.73226762</v>
      </c>
      <c r="O50" s="75">
        <f>0.04*L50</f>
        <v>268942555.98529804</v>
      </c>
      <c r="P50" s="75">
        <v>0</v>
      </c>
      <c r="Q50" s="75">
        <f t="shared" si="10"/>
        <v>268942555.98529804</v>
      </c>
      <c r="R50" s="75">
        <f t="shared" si="12"/>
        <v>6336763383.568018</v>
      </c>
      <c r="S50" s="116">
        <v>17</v>
      </c>
    </row>
    <row r="51" spans="2:19" x14ac:dyDescent="0.2">
      <c r="B51" s="110" t="s">
        <v>176</v>
      </c>
      <c r="C51" s="111">
        <v>2044</v>
      </c>
      <c r="D51" s="46">
        <f t="shared" si="11"/>
        <v>6454621343.6471519</v>
      </c>
      <c r="E51" s="75">
        <v>0.15174000000000001</v>
      </c>
      <c r="F51" s="75">
        <f>F35</f>
        <v>0.104184</v>
      </c>
      <c r="G51" s="96">
        <f>D51*0.6</f>
        <v>3872772806.1882911</v>
      </c>
      <c r="H51" s="75">
        <f>D51*0.4</f>
        <v>2581848537.4588609</v>
      </c>
      <c r="I51" s="96">
        <f t="shared" si="7"/>
        <v>4460427351.7993021</v>
      </c>
      <c r="J51" s="96">
        <f t="shared" si="8"/>
        <v>268987308.02661395</v>
      </c>
      <c r="K51" s="96">
        <f>G51*'[1]Доходность акций'!$H$14*0.87</f>
        <v>301425420.68487865</v>
      </c>
      <c r="L51" s="75">
        <f t="shared" si="9"/>
        <v>7612688617.969656</v>
      </c>
      <c r="M51" s="75"/>
      <c r="N51" s="100">
        <f>$N$3*(1+$C$25)^18</f>
        <v>299643286.08819354</v>
      </c>
      <c r="O51" s="75">
        <f>0.04*L51</f>
        <v>304507544.71878624</v>
      </c>
      <c r="P51" s="75">
        <v>0</v>
      </c>
      <c r="Q51" s="75">
        <f t="shared" si="10"/>
        <v>304507544.71878624</v>
      </c>
      <c r="R51" s="75">
        <f t="shared" si="12"/>
        <v>7703874276.8126926</v>
      </c>
      <c r="S51" s="116">
        <v>18</v>
      </c>
    </row>
    <row r="52" spans="2:19" x14ac:dyDescent="0.2">
      <c r="B52" s="110" t="s">
        <v>176</v>
      </c>
      <c r="C52" s="111">
        <v>2045</v>
      </c>
      <c r="D52" s="46">
        <f t="shared" si="11"/>
        <v>7308181073.2508698</v>
      </c>
      <c r="E52" s="75">
        <v>0.32600000000000001</v>
      </c>
      <c r="F52" s="75">
        <f>F35</f>
        <v>0.104184</v>
      </c>
      <c r="G52" s="96">
        <f>D52*0.6</f>
        <v>4384908643.9505215</v>
      </c>
      <c r="H52" s="75">
        <f>D52*0.4</f>
        <v>2923272429.3003483</v>
      </c>
      <c r="I52" s="96">
        <f t="shared" si="7"/>
        <v>5814388861.8783922</v>
      </c>
      <c r="J52" s="96">
        <f t="shared" si="8"/>
        <v>304558214.7742275</v>
      </c>
      <c r="K52" s="96">
        <f>G52*'[1]Доходность акций'!$H$14*0.87</f>
        <v>341285946.48143828</v>
      </c>
      <c r="L52" s="75">
        <f t="shared" si="9"/>
        <v>9383505452.4344063</v>
      </c>
      <c r="M52" s="75"/>
      <c r="N52" s="100">
        <f>$N$3*(1+$C$25)^19</f>
        <v>331735082.02823901</v>
      </c>
      <c r="O52" s="75">
        <f>0.04*L52</f>
        <v>375340218.09737629</v>
      </c>
      <c r="P52" s="75">
        <v>0</v>
      </c>
      <c r="Q52" s="75">
        <f t="shared" si="10"/>
        <v>375340218.09737629</v>
      </c>
      <c r="R52" s="75">
        <f t="shared" si="12"/>
        <v>9371888814.0956783</v>
      </c>
      <c r="S52" s="116">
        <v>19</v>
      </c>
    </row>
    <row r="53" spans="2:19" x14ac:dyDescent="0.2">
      <c r="B53" s="110" t="s">
        <v>176</v>
      </c>
      <c r="C53" s="111">
        <v>2046</v>
      </c>
      <c r="D53" s="46">
        <f t="shared" si="11"/>
        <v>9008165234.3370304</v>
      </c>
      <c r="E53" s="75">
        <v>0.15174000000000001</v>
      </c>
      <c r="F53" s="75">
        <f>F35</f>
        <v>0.104184</v>
      </c>
      <c r="G53" s="96">
        <f>D53*0.6</f>
        <v>5404899140.6022177</v>
      </c>
      <c r="H53" s="75">
        <f>D53*0.4</f>
        <v>3603266093.7348123</v>
      </c>
      <c r="I53" s="96">
        <f t="shared" si="7"/>
        <v>6225038536.1971979</v>
      </c>
      <c r="J53" s="96">
        <f t="shared" si="8"/>
        <v>375402674.70966768</v>
      </c>
      <c r="K53" s="96">
        <f>G53*'[1]Доходность акций'!$H$14*0.87</f>
        <v>420673785.61740333</v>
      </c>
      <c r="L53" s="75">
        <f>SUM(I53,K53)</f>
        <v>6645712321.8146009</v>
      </c>
      <c r="M53" s="75"/>
      <c r="N53" s="100">
        <f>$N$3*(1+$C$25)^20</f>
        <v>367263909.31346339</v>
      </c>
      <c r="O53" s="75">
        <f>0.04*L53</f>
        <v>265828492.87258404</v>
      </c>
      <c r="P53" s="75">
        <v>0</v>
      </c>
      <c r="Q53" s="75">
        <f t="shared" si="10"/>
        <v>265828492.87258404</v>
      </c>
      <c r="R53" s="75">
        <f t="shared" si="12"/>
        <v>11179752076.083183</v>
      </c>
      <c r="S53" s="116">
        <v>20</v>
      </c>
    </row>
    <row r="54" spans="2:19" x14ac:dyDescent="0.2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2:19" x14ac:dyDescent="0.2">
      <c r="B55" s="58" t="s">
        <v>61</v>
      </c>
      <c r="C55" s="59">
        <v>0.125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2:19" x14ac:dyDescent="0.2">
      <c r="B56" s="58" t="s">
        <v>188</v>
      </c>
      <c r="C56" s="60">
        <v>0.13</v>
      </c>
      <c r="D56" s="16"/>
      <c r="E56" s="16"/>
      <c r="F56" s="16"/>
      <c r="G56" s="61"/>
      <c r="H56" s="25"/>
      <c r="I56" s="16"/>
      <c r="J56" s="16"/>
      <c r="K56" s="16"/>
      <c r="L56" s="16"/>
      <c r="M56" s="16"/>
      <c r="N56" s="16"/>
    </row>
    <row r="65" spans="2:14" x14ac:dyDescent="0.2">
      <c r="B65" s="16"/>
      <c r="C65" s="16"/>
      <c r="D65" s="16"/>
      <c r="E65" s="16"/>
      <c r="F65" s="16"/>
      <c r="G65" s="16"/>
      <c r="H65" s="61"/>
      <c r="I65" s="25"/>
      <c r="J65" s="16"/>
      <c r="K65" s="16"/>
      <c r="L65" s="16"/>
      <c r="M65" s="16"/>
      <c r="N65" s="16"/>
    </row>
    <row r="66" spans="2:14" x14ac:dyDescent="0.2">
      <c r="B66" s="16"/>
      <c r="C66" s="16"/>
      <c r="D66" s="16"/>
      <c r="E66" s="16"/>
      <c r="F66" s="61"/>
      <c r="G66" s="16"/>
      <c r="H66" s="61"/>
      <c r="I66" s="25"/>
      <c r="J66" s="25"/>
      <c r="K66" s="16"/>
      <c r="L66" s="16"/>
      <c r="M66" s="16"/>
      <c r="N66" s="16"/>
    </row>
    <row r="67" spans="2:14" x14ac:dyDescent="0.2">
      <c r="F67" s="13"/>
      <c r="H67" s="13"/>
      <c r="I67" s="1"/>
      <c r="J67" s="1"/>
    </row>
    <row r="68" spans="2:14" x14ac:dyDescent="0.2">
      <c r="F68" s="13"/>
      <c r="H68" s="13"/>
      <c r="I68" s="1"/>
      <c r="J68" s="1"/>
    </row>
  </sheetData>
  <mergeCells count="1">
    <mergeCell ref="B30:D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60D1750DB954C43A73FEBB84557F643" ma:contentTypeVersion="5" ma:contentTypeDescription="Создание документа." ma:contentTypeScope="" ma:versionID="47b236ac3bcb03ca16775044a46e2507">
  <xsd:schema xmlns:xsd="http://www.w3.org/2001/XMLSchema" xmlns:xs="http://www.w3.org/2001/XMLSchema" xmlns:p="http://schemas.microsoft.com/office/2006/metadata/properties" xmlns:ns3="448270d0-df0a-4703-a979-7c9963d32a6a" targetNamespace="http://schemas.microsoft.com/office/2006/metadata/properties" ma:root="true" ma:fieldsID="12ce4cfde0fad993889b53415093a00b" ns3:_="">
    <xsd:import namespace="448270d0-df0a-4703-a979-7c9963d32a6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270d0-df0a-4703-a979-7c9963d32a6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8270d0-df0a-4703-a979-7c9963d32a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916091-61B9-4EAA-8F07-2913123C248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48270d0-df0a-4703-a979-7c9963d32a6a"/>
  </ds:schemaRefs>
</ds:datastoreItem>
</file>

<file path=customXml/itemProps2.xml><?xml version="1.0" encoding="utf-8"?>
<ds:datastoreItem xmlns:ds="http://schemas.openxmlformats.org/officeDocument/2006/customXml" ds:itemID="{8668F45B-2974-4F03-9007-2D034CDE52CD}">
  <ds:schemaRefs>
    <ds:schemaRef ds:uri="http://schemas.microsoft.com/office/2006/metadata/properties"/>
    <ds:schemaRef ds:uri="http://www.w3.org/2000/xmlns/"/>
    <ds:schemaRef ds:uri="448270d0-df0a-4703-a979-7c9963d32a6a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D8C9C848-CCCB-4601-98D6-41D30DA773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Портрет</vt:lpstr>
      <vt:lpstr>Доходность облигации</vt:lpstr>
      <vt:lpstr>Доходность акций</vt:lpstr>
      <vt:lpstr>Ребалансировка портфеля</vt:lpstr>
      <vt:lpstr>Сценарии и риски</vt:lpstr>
      <vt:lpstr>Оптимистичный сценарий</vt:lpstr>
      <vt:lpstr>Пессимистиный сценарий</vt:lpstr>
      <vt:lpstr>Сценарий кризиса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Бекмурзаев Сулим Муслимович</dc:creator>
  <cp:keywords/>
  <dc:description/>
  <cp:lastModifiedBy>Бекмурзаева Халима Муслимовна</cp:lastModifiedBy>
  <cp:revision/>
  <dcterms:created xsi:type="dcterms:W3CDTF">2025-12-06T06:54:47Z</dcterms:created>
  <dcterms:modified xsi:type="dcterms:W3CDTF">2025-12-07T18:04:00Z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0x010100D60D1750DB954C43A73FEBB84557F643</vt:lpwstr>
  </property>
</Properties>
</file>